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YYDS\"/>
    </mc:Choice>
  </mc:AlternateContent>
  <xr:revisionPtr revIDLastSave="0" documentId="8_{D28F3CA7-2B9C-4B76-93A8-EE0B99B2907C}" xr6:coauthVersionLast="47" xr6:coauthVersionMax="47" xr10:uidLastSave="{00000000-0000-0000-0000-000000000000}"/>
  <bookViews>
    <workbookView xWindow="3720" yWindow="3720" windowWidth="21600" windowHeight="11295" activeTab="2" xr2:uid="{00000000-000D-0000-FFFF-FFFF00000000}"/>
  </bookViews>
  <sheets>
    <sheet name="首頁" sheetId="1" r:id="rId1"/>
    <sheet name="今日戰報" sheetId="2" r:id="rId2"/>
    <sheet name="總表" sheetId="3" r:id="rId3"/>
    <sheet name="打者數據" sheetId="4" r:id="rId4"/>
    <sheet name="投手數據" sheetId="5" r:id="rId5"/>
    <sheet name="日韓職球員數據" sheetId="6" r:id="rId6"/>
    <sheet name="異動資料源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L41" i="7"/>
  <c r="K41" i="7"/>
  <c r="J41" i="7"/>
  <c r="C41" i="7"/>
  <c r="A41" i="7"/>
  <c r="L40" i="7"/>
  <c r="K40" i="7"/>
  <c r="J40" i="7"/>
  <c r="C40" i="7"/>
  <c r="A40" i="7"/>
  <c r="L39" i="7"/>
  <c r="K39" i="7"/>
  <c r="J39" i="7"/>
  <c r="C39" i="7"/>
  <c r="A39" i="7"/>
  <c r="L38" i="7"/>
  <c r="K38" i="7"/>
  <c r="J38" i="7"/>
  <c r="C38" i="7"/>
  <c r="A38" i="7"/>
  <c r="L37" i="7"/>
  <c r="K37" i="7"/>
  <c r="J37" i="7"/>
  <c r="C37" i="7"/>
  <c r="A37" i="7"/>
  <c r="L36" i="7"/>
  <c r="K36" i="7"/>
  <c r="J36" i="7"/>
  <c r="C36" i="7"/>
  <c r="A36" i="7"/>
  <c r="L35" i="7"/>
  <c r="K35" i="7"/>
  <c r="J35" i="7"/>
  <c r="C35" i="7"/>
  <c r="A35" i="7"/>
  <c r="L34" i="7"/>
  <c r="K34" i="7"/>
  <c r="J34" i="7"/>
  <c r="C34" i="7"/>
  <c r="A34" i="7"/>
  <c r="L33" i="7"/>
  <c r="K33" i="7"/>
  <c r="J33" i="7"/>
  <c r="C33" i="7"/>
  <c r="A33" i="7"/>
  <c r="D33" i="7" s="1"/>
  <c r="M33" i="7" s="1"/>
  <c r="L32" i="7"/>
  <c r="K32" i="7"/>
  <c r="J32" i="7"/>
  <c r="C32" i="7"/>
  <c r="A32" i="7"/>
  <c r="L31" i="7"/>
  <c r="K31" i="7"/>
  <c r="J31" i="7"/>
  <c r="C31" i="7"/>
  <c r="A31" i="7"/>
  <c r="L30" i="7"/>
  <c r="K30" i="7"/>
  <c r="J30" i="7"/>
  <c r="C30" i="7"/>
  <c r="A30" i="7"/>
  <c r="L29" i="7"/>
  <c r="K29" i="7"/>
  <c r="J29" i="7"/>
  <c r="C29" i="7"/>
  <c r="A29" i="7"/>
  <c r="L28" i="7"/>
  <c r="K28" i="7"/>
  <c r="J28" i="7"/>
  <c r="C28" i="7"/>
  <c r="A28" i="7"/>
  <c r="L27" i="7"/>
  <c r="K27" i="7"/>
  <c r="J27" i="7"/>
  <c r="C27" i="7"/>
  <c r="A27" i="7"/>
  <c r="L26" i="7"/>
  <c r="K26" i="7"/>
  <c r="J26" i="7"/>
  <c r="C26" i="7"/>
  <c r="A26" i="7"/>
  <c r="L25" i="7"/>
  <c r="K25" i="7"/>
  <c r="J25" i="7"/>
  <c r="C25" i="7"/>
  <c r="A25" i="7"/>
  <c r="L24" i="7"/>
  <c r="K24" i="7"/>
  <c r="J24" i="7"/>
  <c r="C24" i="7"/>
  <c r="A24" i="7"/>
  <c r="L23" i="7"/>
  <c r="K23" i="7"/>
  <c r="J23" i="7"/>
  <c r="C23" i="7"/>
  <c r="A23" i="7"/>
  <c r="L22" i="7"/>
  <c r="K22" i="7"/>
  <c r="J22" i="7"/>
  <c r="C22" i="7"/>
  <c r="A22" i="7"/>
  <c r="L21" i="7"/>
  <c r="K21" i="7"/>
  <c r="J21" i="7"/>
  <c r="C21" i="7"/>
  <c r="A21" i="7"/>
  <c r="L20" i="7"/>
  <c r="K20" i="7"/>
  <c r="J20" i="7"/>
  <c r="C20" i="7"/>
  <c r="A20" i="7"/>
  <c r="L19" i="7"/>
  <c r="K19" i="7"/>
  <c r="J19" i="7"/>
  <c r="C19" i="7"/>
  <c r="A19" i="7"/>
  <c r="L18" i="7"/>
  <c r="K18" i="7"/>
  <c r="J18" i="7"/>
  <c r="C18" i="7"/>
  <c r="A18" i="7"/>
  <c r="L17" i="7"/>
  <c r="K17" i="7"/>
  <c r="J17" i="7"/>
  <c r="C17" i="7"/>
  <c r="A17" i="7"/>
  <c r="D17" i="7" s="1"/>
  <c r="M17" i="7" s="1"/>
  <c r="L16" i="7"/>
  <c r="K16" i="7"/>
  <c r="J16" i="7"/>
  <c r="C16" i="7"/>
  <c r="A16" i="7"/>
  <c r="L15" i="7"/>
  <c r="K15" i="7"/>
  <c r="J15" i="7"/>
  <c r="C15" i="7"/>
  <c r="A15" i="7"/>
  <c r="L14" i="7"/>
  <c r="K14" i="7"/>
  <c r="J14" i="7"/>
  <c r="C14" i="7"/>
  <c r="A14" i="7"/>
  <c r="L13" i="7"/>
  <c r="K13" i="7"/>
  <c r="J13" i="7"/>
  <c r="C13" i="7"/>
  <c r="A13" i="7"/>
  <c r="L12" i="7"/>
  <c r="K12" i="7"/>
  <c r="J12" i="7"/>
  <c r="C12" i="7"/>
  <c r="A12" i="7"/>
  <c r="L11" i="7"/>
  <c r="K11" i="7"/>
  <c r="J11" i="7"/>
  <c r="C11" i="7"/>
  <c r="A11" i="7"/>
  <c r="L10" i="7"/>
  <c r="K10" i="7"/>
  <c r="J10" i="7"/>
  <c r="C10" i="7"/>
  <c r="A10" i="7"/>
  <c r="L9" i="7"/>
  <c r="K9" i="7"/>
  <c r="J9" i="7"/>
  <c r="C9" i="7"/>
  <c r="A9" i="7"/>
  <c r="L8" i="7"/>
  <c r="K8" i="7"/>
  <c r="J8" i="7"/>
  <c r="C8" i="7"/>
  <c r="A8" i="7"/>
  <c r="L7" i="7"/>
  <c r="K7" i="7"/>
  <c r="J7" i="7"/>
  <c r="C7" i="7"/>
  <c r="A7" i="7"/>
  <c r="L6" i="7"/>
  <c r="K6" i="7"/>
  <c r="J6" i="7"/>
  <c r="C6" i="7"/>
  <c r="A6" i="7"/>
  <c r="L5" i="7"/>
  <c r="K5" i="7"/>
  <c r="J5" i="7"/>
  <c r="C5" i="7"/>
  <c r="A5" i="7"/>
  <c r="L4" i="7"/>
  <c r="K4" i="7"/>
  <c r="J4" i="7"/>
  <c r="C4" i="7"/>
  <c r="A4" i="7"/>
  <c r="L3" i="7"/>
  <c r="K3" i="7"/>
  <c r="J3" i="7"/>
  <c r="C3" i="7"/>
  <c r="A3" i="7"/>
  <c r="L2" i="7"/>
  <c r="K2" i="7"/>
  <c r="J2" i="7"/>
  <c r="C2" i="7"/>
  <c r="A2" i="7"/>
  <c r="N41" i="3"/>
  <c r="L41" i="3"/>
  <c r="K41" i="3" a="1"/>
  <c r="K41" i="3" s="1"/>
  <c r="F41" i="7" s="1"/>
  <c r="J41" i="3"/>
  <c r="N40" i="3"/>
  <c r="L40" i="3"/>
  <c r="K40" i="3" a="1"/>
  <c r="K40" i="3" s="1"/>
  <c r="F40" i="7" s="1"/>
  <c r="J40" i="3"/>
  <c r="N39" i="3"/>
  <c r="L39" i="3"/>
  <c r="K39" i="3" a="1"/>
  <c r="K39" i="3" s="1"/>
  <c r="F39" i="7" s="1"/>
  <c r="J39" i="3"/>
  <c r="N38" i="3"/>
  <c r="L38" i="3"/>
  <c r="K38" i="3" a="1"/>
  <c r="K38" i="3" s="1"/>
  <c r="F38" i="7" s="1"/>
  <c r="J38" i="3"/>
  <c r="N37" i="3"/>
  <c r="L37" i="3"/>
  <c r="K37" i="3" a="1"/>
  <c r="K37" i="3" s="1"/>
  <c r="F37" i="7" s="1"/>
  <c r="G37" i="7" s="1"/>
  <c r="J37" i="3"/>
  <c r="N36" i="3"/>
  <c r="L36" i="3"/>
  <c r="K36" i="3" a="1"/>
  <c r="K36" i="3" s="1"/>
  <c r="F36" i="7" s="1"/>
  <c r="J36" i="3"/>
  <c r="N35" i="3"/>
  <c r="L35" i="3"/>
  <c r="K35" i="3" a="1"/>
  <c r="K35" i="3" s="1"/>
  <c r="F35" i="7" s="1"/>
  <c r="J35" i="3"/>
  <c r="N34" i="3"/>
  <c r="L34" i="3"/>
  <c r="K34" i="3" a="1"/>
  <c r="K34" i="3" s="1"/>
  <c r="F34" i="7" s="1"/>
  <c r="J34" i="3"/>
  <c r="N33" i="3"/>
  <c r="L33" i="3"/>
  <c r="K33" i="3" a="1"/>
  <c r="K33" i="3" s="1"/>
  <c r="F33" i="7" s="1"/>
  <c r="J33" i="3"/>
  <c r="N32" i="3"/>
  <c r="L32" i="3"/>
  <c r="K32" i="3" a="1"/>
  <c r="K32" i="3" s="1"/>
  <c r="F32" i="7" s="1"/>
  <c r="J32" i="3"/>
  <c r="N31" i="3"/>
  <c r="L31" i="3"/>
  <c r="K31" i="3" a="1"/>
  <c r="K31" i="3" s="1"/>
  <c r="F31" i="7" s="1"/>
  <c r="J31" i="3"/>
  <c r="N30" i="3"/>
  <c r="L30" i="3"/>
  <c r="K30" i="3" a="1"/>
  <c r="K30" i="3" s="1"/>
  <c r="F30" i="7" s="1"/>
  <c r="J30" i="3"/>
  <c r="N29" i="3"/>
  <c r="L29" i="3"/>
  <c r="K29" i="3" a="1"/>
  <c r="K29" i="3" s="1"/>
  <c r="F29" i="7" s="1"/>
  <c r="G29" i="7" s="1"/>
  <c r="J29" i="3"/>
  <c r="N28" i="3"/>
  <c r="L28" i="3"/>
  <c r="K28" i="3" a="1"/>
  <c r="K28" i="3" s="1"/>
  <c r="F28" i="7" s="1"/>
  <c r="J28" i="3"/>
  <c r="N27" i="3"/>
  <c r="L27" i="3"/>
  <c r="K27" i="3" a="1"/>
  <c r="K27" i="3" s="1"/>
  <c r="F27" i="7" s="1"/>
  <c r="J27" i="3"/>
  <c r="N26" i="3"/>
  <c r="L26" i="3"/>
  <c r="K26" i="3" a="1"/>
  <c r="K26" i="3" s="1"/>
  <c r="F26" i="7" s="1"/>
  <c r="J26" i="3"/>
  <c r="N25" i="3"/>
  <c r="L25" i="3"/>
  <c r="K25" i="3" a="1"/>
  <c r="K25" i="3" s="1"/>
  <c r="F25" i="7" s="1"/>
  <c r="J25" i="3"/>
  <c r="N24" i="3"/>
  <c r="L24" i="3"/>
  <c r="K24" i="3" a="1"/>
  <c r="K24" i="3" s="1"/>
  <c r="F24" i="7" s="1"/>
  <c r="J24" i="3"/>
  <c r="N23" i="3"/>
  <c r="L23" i="3"/>
  <c r="K23" i="3" a="1"/>
  <c r="K23" i="3" s="1"/>
  <c r="F23" i="7" s="1"/>
  <c r="J23" i="3"/>
  <c r="N22" i="3"/>
  <c r="L22" i="3"/>
  <c r="K22" i="3" a="1"/>
  <c r="K22" i="3" s="1"/>
  <c r="F22" i="7" s="1"/>
  <c r="J22" i="3"/>
  <c r="N21" i="3"/>
  <c r="L21" i="3"/>
  <c r="K21" i="3" a="1"/>
  <c r="K21" i="3" s="1"/>
  <c r="F21" i="7" s="1"/>
  <c r="J21" i="3"/>
  <c r="N20" i="3"/>
  <c r="L20" i="3"/>
  <c r="K20" i="3" a="1"/>
  <c r="K20" i="3" s="1"/>
  <c r="F20" i="7" s="1"/>
  <c r="J20" i="3"/>
  <c r="N19" i="3"/>
  <c r="L19" i="3"/>
  <c r="K19" i="3" a="1"/>
  <c r="K19" i="3" s="1"/>
  <c r="F19" i="7" s="1"/>
  <c r="J19" i="3"/>
  <c r="N18" i="3"/>
  <c r="L18" i="3"/>
  <c r="K18" i="3" a="1"/>
  <c r="K18" i="3" s="1"/>
  <c r="F18" i="7" s="1"/>
  <c r="J18" i="3"/>
  <c r="N17" i="3"/>
  <c r="L17" i="3"/>
  <c r="K17" i="3" a="1"/>
  <c r="K17" i="3" s="1"/>
  <c r="F17" i="7" s="1"/>
  <c r="J17" i="3"/>
  <c r="N16" i="3"/>
  <c r="L16" i="3"/>
  <c r="K16" i="3" a="1"/>
  <c r="K16" i="3" s="1"/>
  <c r="F16" i="7" s="1"/>
  <c r="J16" i="3"/>
  <c r="N15" i="3"/>
  <c r="L15" i="3"/>
  <c r="K15" i="3" a="1"/>
  <c r="K15" i="3" s="1"/>
  <c r="F15" i="7" s="1"/>
  <c r="J15" i="3"/>
  <c r="N14" i="3"/>
  <c r="L14" i="3"/>
  <c r="K14" i="3" a="1"/>
  <c r="K14" i="3" s="1"/>
  <c r="F14" i="7" s="1"/>
  <c r="J14" i="3"/>
  <c r="N13" i="3"/>
  <c r="L13" i="3"/>
  <c r="K13" i="3" a="1"/>
  <c r="K13" i="3" s="1"/>
  <c r="F13" i="7" s="1"/>
  <c r="G13" i="7" s="1"/>
  <c r="J13" i="3"/>
  <c r="N12" i="3"/>
  <c r="L12" i="3"/>
  <c r="K12" i="3" a="1"/>
  <c r="K12" i="3" s="1"/>
  <c r="F12" i="7" s="1"/>
  <c r="J12" i="3"/>
  <c r="N11" i="3"/>
  <c r="L11" i="3"/>
  <c r="K11" i="3" a="1"/>
  <c r="K11" i="3" s="1"/>
  <c r="F11" i="7" s="1"/>
  <c r="J11" i="3"/>
  <c r="N10" i="3"/>
  <c r="L10" i="3"/>
  <c r="K10" i="3" a="1"/>
  <c r="K10" i="3" s="1"/>
  <c r="F10" i="7" s="1"/>
  <c r="J10" i="3"/>
  <c r="N9" i="3"/>
  <c r="L9" i="3"/>
  <c r="K9" i="3" a="1"/>
  <c r="K9" i="3" s="1"/>
  <c r="F9" i="7" s="1"/>
  <c r="J9" i="3"/>
  <c r="N8" i="3"/>
  <c r="L8" i="3"/>
  <c r="K8" i="3" a="1"/>
  <c r="K8" i="3" s="1"/>
  <c r="F8" i="7" s="1"/>
  <c r="J8" i="3"/>
  <c r="N7" i="3"/>
  <c r="L7" i="3"/>
  <c r="K7" i="3" a="1"/>
  <c r="K7" i="3" s="1"/>
  <c r="F7" i="7" s="1"/>
  <c r="J7" i="3"/>
  <c r="N6" i="3"/>
  <c r="L6" i="3"/>
  <c r="K6" i="3" a="1"/>
  <c r="K6" i="3" s="1"/>
  <c r="F6" i="7" s="1"/>
  <c r="J6" i="3"/>
  <c r="N5" i="3"/>
  <c r="L5" i="3"/>
  <c r="K5" i="3" a="1"/>
  <c r="K5" i="3" s="1"/>
  <c r="F5" i="7" s="1"/>
  <c r="G5" i="7" s="1"/>
  <c r="J5" i="3"/>
  <c r="N4" i="3"/>
  <c r="L4" i="3"/>
  <c r="K4" i="3" a="1"/>
  <c r="K4" i="3" s="1"/>
  <c r="F4" i="7" s="1"/>
  <c r="J4" i="3"/>
  <c r="N3" i="3"/>
  <c r="L3" i="3"/>
  <c r="K3" i="3" a="1"/>
  <c r="K3" i="3" s="1"/>
  <c r="F3" i="7" s="1"/>
  <c r="J3" i="3"/>
  <c r="O2" i="3"/>
  <c r="N2" i="3"/>
  <c r="M2" i="3"/>
  <c r="L2" i="3"/>
  <c r="K2" i="3" a="1"/>
  <c r="K2" i="3" s="1"/>
  <c r="F2" i="7" s="1"/>
  <c r="J2" i="3"/>
  <c r="E200" i="2"/>
  <c r="D200" i="2"/>
  <c r="C200" i="2"/>
  <c r="K200" i="2" s="1"/>
  <c r="B200" i="2"/>
  <c r="J200" i="2" s="1"/>
  <c r="E199" i="2"/>
  <c r="D199" i="2"/>
  <c r="C199" i="2"/>
  <c r="K199" i="2" s="1"/>
  <c r="B199" i="2"/>
  <c r="J199" i="2" s="1"/>
  <c r="E198" i="2"/>
  <c r="D198" i="2"/>
  <c r="I198" i="2" s="1"/>
  <c r="C198" i="2"/>
  <c r="B198" i="2"/>
  <c r="J198" i="2" s="1"/>
  <c r="E197" i="2"/>
  <c r="D197" i="2"/>
  <c r="C197" i="2"/>
  <c r="K197" i="2" s="1"/>
  <c r="B197" i="2"/>
  <c r="J197" i="2" s="1"/>
  <c r="E196" i="2"/>
  <c r="D196" i="2"/>
  <c r="C196" i="2"/>
  <c r="K196" i="2" s="1"/>
  <c r="B196" i="2"/>
  <c r="J196" i="2" s="1"/>
  <c r="E195" i="2"/>
  <c r="D195" i="2"/>
  <c r="C195" i="2"/>
  <c r="B195" i="2"/>
  <c r="J195" i="2" s="1"/>
  <c r="E194" i="2"/>
  <c r="D194" i="2"/>
  <c r="C194" i="2"/>
  <c r="K194" i="2" s="1"/>
  <c r="B194" i="2"/>
  <c r="J194" i="2" s="1"/>
  <c r="E193" i="2"/>
  <c r="D193" i="2"/>
  <c r="C193" i="2"/>
  <c r="B193" i="2"/>
  <c r="J193" i="2" s="1"/>
  <c r="E192" i="2"/>
  <c r="D192" i="2"/>
  <c r="C192" i="2"/>
  <c r="K192" i="2" s="1"/>
  <c r="B192" i="2"/>
  <c r="J192" i="2" s="1"/>
  <c r="E191" i="2"/>
  <c r="D191" i="2"/>
  <c r="C191" i="2"/>
  <c r="K191" i="2" s="1"/>
  <c r="B191" i="2"/>
  <c r="J191" i="2" s="1"/>
  <c r="E190" i="2"/>
  <c r="D190" i="2"/>
  <c r="I190" i="2" s="1"/>
  <c r="C190" i="2"/>
  <c r="B190" i="2"/>
  <c r="J190" i="2" s="1"/>
  <c r="J189" i="2"/>
  <c r="E189" i="2"/>
  <c r="D189" i="2"/>
  <c r="I189" i="2" s="1"/>
  <c r="C189" i="2"/>
  <c r="B189" i="2"/>
  <c r="E188" i="2"/>
  <c r="D188" i="2"/>
  <c r="C188" i="2"/>
  <c r="K188" i="2" s="1"/>
  <c r="B188" i="2"/>
  <c r="J188" i="2" s="1"/>
  <c r="E187" i="2"/>
  <c r="D187" i="2"/>
  <c r="C187" i="2"/>
  <c r="B187" i="2"/>
  <c r="J187" i="2" s="1"/>
  <c r="E186" i="2"/>
  <c r="D186" i="2"/>
  <c r="I186" i="2" s="1"/>
  <c r="C186" i="2"/>
  <c r="K186" i="2" s="1"/>
  <c r="B186" i="2"/>
  <c r="J186" i="2" s="1"/>
  <c r="E185" i="2"/>
  <c r="D185" i="2"/>
  <c r="C185" i="2"/>
  <c r="K185" i="2" s="1"/>
  <c r="B185" i="2"/>
  <c r="J185" i="2" s="1"/>
  <c r="E184" i="2"/>
  <c r="D184" i="2"/>
  <c r="C184" i="2"/>
  <c r="K184" i="2" s="1"/>
  <c r="B184" i="2"/>
  <c r="J184" i="2" s="1"/>
  <c r="E183" i="2"/>
  <c r="D183" i="2"/>
  <c r="C183" i="2"/>
  <c r="K183" i="2" s="1"/>
  <c r="B183" i="2"/>
  <c r="J183" i="2" s="1"/>
  <c r="E182" i="2"/>
  <c r="D182" i="2"/>
  <c r="I182" i="2" s="1"/>
  <c r="C182" i="2"/>
  <c r="B182" i="2"/>
  <c r="J182" i="2" s="1"/>
  <c r="E181" i="2"/>
  <c r="D181" i="2"/>
  <c r="C181" i="2"/>
  <c r="B181" i="2"/>
  <c r="J181" i="2" s="1"/>
  <c r="E180" i="2"/>
  <c r="D180" i="2"/>
  <c r="C180" i="2"/>
  <c r="K180" i="2" s="1"/>
  <c r="B180" i="2"/>
  <c r="J180" i="2" s="1"/>
  <c r="E179" i="2"/>
  <c r="D179" i="2"/>
  <c r="C179" i="2"/>
  <c r="B179" i="2"/>
  <c r="J179" i="2" s="1"/>
  <c r="E178" i="2"/>
  <c r="D178" i="2"/>
  <c r="I178" i="2" s="1"/>
  <c r="C178" i="2"/>
  <c r="B178" i="2"/>
  <c r="J178" i="2" s="1"/>
  <c r="E177" i="2"/>
  <c r="D177" i="2"/>
  <c r="I177" i="2" s="1"/>
  <c r="C177" i="2"/>
  <c r="K177" i="2" s="1"/>
  <c r="B177" i="2"/>
  <c r="J177" i="2" s="1"/>
  <c r="E176" i="2"/>
  <c r="D176" i="2"/>
  <c r="C176" i="2"/>
  <c r="K176" i="2" s="1"/>
  <c r="B176" i="2"/>
  <c r="J176" i="2" s="1"/>
  <c r="E175" i="2"/>
  <c r="D175" i="2"/>
  <c r="C175" i="2"/>
  <c r="K175" i="2" s="1"/>
  <c r="B175" i="2"/>
  <c r="J175" i="2" s="1"/>
  <c r="E174" i="2"/>
  <c r="D174" i="2"/>
  <c r="I174" i="2" s="1"/>
  <c r="C174" i="2"/>
  <c r="B174" i="2"/>
  <c r="J174" i="2" s="1"/>
  <c r="E173" i="2"/>
  <c r="D173" i="2"/>
  <c r="C173" i="2"/>
  <c r="B173" i="2"/>
  <c r="J173" i="2" s="1"/>
  <c r="E172" i="2"/>
  <c r="D172" i="2"/>
  <c r="C172" i="2"/>
  <c r="K172" i="2" s="1"/>
  <c r="B172" i="2"/>
  <c r="J172" i="2" s="1"/>
  <c r="E171" i="2"/>
  <c r="D171" i="2"/>
  <c r="C171" i="2"/>
  <c r="B171" i="2"/>
  <c r="J171" i="2" s="1"/>
  <c r="E170" i="2"/>
  <c r="D170" i="2"/>
  <c r="C170" i="2"/>
  <c r="K170" i="2" s="1"/>
  <c r="B170" i="2"/>
  <c r="J170" i="2" s="1"/>
  <c r="E169" i="2"/>
  <c r="D169" i="2"/>
  <c r="C169" i="2"/>
  <c r="K169" i="2" s="1"/>
  <c r="B169" i="2"/>
  <c r="J169" i="2" s="1"/>
  <c r="E168" i="2"/>
  <c r="D168" i="2"/>
  <c r="C168" i="2"/>
  <c r="K168" i="2" s="1"/>
  <c r="B168" i="2"/>
  <c r="J168" i="2" s="1"/>
  <c r="E167" i="2"/>
  <c r="D167" i="2"/>
  <c r="C167" i="2"/>
  <c r="K167" i="2" s="1"/>
  <c r="B167" i="2"/>
  <c r="J167" i="2" s="1"/>
  <c r="E166" i="2"/>
  <c r="D166" i="2"/>
  <c r="I166" i="2" s="1"/>
  <c r="C166" i="2"/>
  <c r="B166" i="2"/>
  <c r="J166" i="2" s="1"/>
  <c r="E165" i="2"/>
  <c r="D165" i="2"/>
  <c r="C165" i="2"/>
  <c r="B165" i="2"/>
  <c r="J165" i="2" s="1"/>
  <c r="E164" i="2"/>
  <c r="D164" i="2"/>
  <c r="C164" i="2"/>
  <c r="B164" i="2"/>
  <c r="J164" i="2" s="1"/>
  <c r="E163" i="2"/>
  <c r="D163" i="2"/>
  <c r="C163" i="2"/>
  <c r="B163" i="2"/>
  <c r="J163" i="2" s="1"/>
  <c r="E162" i="2"/>
  <c r="D162" i="2"/>
  <c r="C162" i="2"/>
  <c r="B162" i="2"/>
  <c r="J162" i="2" s="1"/>
  <c r="E161" i="2"/>
  <c r="D161" i="2"/>
  <c r="C161" i="2"/>
  <c r="B161" i="2"/>
  <c r="J161" i="2" s="1"/>
  <c r="E160" i="2"/>
  <c r="D160" i="2"/>
  <c r="C160" i="2"/>
  <c r="K160" i="2" s="1"/>
  <c r="B160" i="2"/>
  <c r="J160" i="2" s="1"/>
  <c r="E159" i="2"/>
  <c r="D159" i="2"/>
  <c r="C159" i="2"/>
  <c r="K159" i="2" s="1"/>
  <c r="B159" i="2"/>
  <c r="J159" i="2" s="1"/>
  <c r="E158" i="2"/>
  <c r="D158" i="2"/>
  <c r="I158" i="2" s="1"/>
  <c r="C158" i="2"/>
  <c r="K158" i="2" s="1"/>
  <c r="B158" i="2"/>
  <c r="J158" i="2" s="1"/>
  <c r="E157" i="2"/>
  <c r="D157" i="2"/>
  <c r="C157" i="2"/>
  <c r="K157" i="2" s="1"/>
  <c r="B157" i="2"/>
  <c r="J157" i="2" s="1"/>
  <c r="E156" i="2"/>
  <c r="D156" i="2"/>
  <c r="C156" i="2"/>
  <c r="B156" i="2"/>
  <c r="J156" i="2" s="1"/>
  <c r="E155" i="2"/>
  <c r="D155" i="2"/>
  <c r="C155" i="2"/>
  <c r="B155" i="2"/>
  <c r="J155" i="2" s="1"/>
  <c r="E154" i="2"/>
  <c r="D154" i="2"/>
  <c r="I154" i="2" s="1"/>
  <c r="C154" i="2"/>
  <c r="B154" i="2"/>
  <c r="J154" i="2" s="1"/>
  <c r="E153" i="2"/>
  <c r="D153" i="2"/>
  <c r="C153" i="2"/>
  <c r="K153" i="2" s="1"/>
  <c r="B153" i="2"/>
  <c r="J153" i="2" s="1"/>
  <c r="E152" i="2"/>
  <c r="D152" i="2"/>
  <c r="C152" i="2"/>
  <c r="K152" i="2" s="1"/>
  <c r="B152" i="2"/>
  <c r="J152" i="2" s="1"/>
  <c r="E151" i="2"/>
  <c r="D151" i="2"/>
  <c r="C151" i="2"/>
  <c r="K151" i="2" s="1"/>
  <c r="B151" i="2"/>
  <c r="J151" i="2" s="1"/>
  <c r="E150" i="2"/>
  <c r="D150" i="2"/>
  <c r="I150" i="2" s="1"/>
  <c r="C150" i="2"/>
  <c r="K150" i="2" s="1"/>
  <c r="B150" i="2"/>
  <c r="J150" i="2" s="1"/>
  <c r="E149" i="2"/>
  <c r="D149" i="2"/>
  <c r="C149" i="2"/>
  <c r="B149" i="2"/>
  <c r="J149" i="2" s="1"/>
  <c r="E148" i="2"/>
  <c r="D148" i="2"/>
  <c r="C148" i="2"/>
  <c r="K148" i="2" s="1"/>
  <c r="B148" i="2"/>
  <c r="J148" i="2" s="1"/>
  <c r="E147" i="2"/>
  <c r="D147" i="2"/>
  <c r="C147" i="2"/>
  <c r="B147" i="2"/>
  <c r="J147" i="2" s="1"/>
  <c r="E146" i="2"/>
  <c r="D146" i="2"/>
  <c r="C146" i="2"/>
  <c r="B146" i="2"/>
  <c r="J146" i="2" s="1"/>
  <c r="E145" i="2"/>
  <c r="D145" i="2"/>
  <c r="C145" i="2"/>
  <c r="K145" i="2" s="1"/>
  <c r="B145" i="2"/>
  <c r="J145" i="2" s="1"/>
  <c r="E144" i="2"/>
  <c r="D144" i="2"/>
  <c r="C144" i="2"/>
  <c r="K144" i="2" s="1"/>
  <c r="B144" i="2"/>
  <c r="J144" i="2" s="1"/>
  <c r="E143" i="2"/>
  <c r="D143" i="2"/>
  <c r="C143" i="2"/>
  <c r="K143" i="2" s="1"/>
  <c r="B143" i="2"/>
  <c r="J143" i="2" s="1"/>
  <c r="E142" i="2"/>
  <c r="D142" i="2"/>
  <c r="I142" i="2" s="1"/>
  <c r="C142" i="2"/>
  <c r="K142" i="2" s="1"/>
  <c r="B142" i="2"/>
  <c r="J142" i="2" s="1"/>
  <c r="E141" i="2"/>
  <c r="D141" i="2"/>
  <c r="C141" i="2"/>
  <c r="B141" i="2"/>
  <c r="J141" i="2" s="1"/>
  <c r="E140" i="2"/>
  <c r="D140" i="2"/>
  <c r="C140" i="2"/>
  <c r="B140" i="2"/>
  <c r="J140" i="2" s="1"/>
  <c r="E139" i="2"/>
  <c r="D139" i="2"/>
  <c r="C139" i="2"/>
  <c r="K139" i="2" s="1"/>
  <c r="B139" i="2"/>
  <c r="J139" i="2" s="1"/>
  <c r="E138" i="2"/>
  <c r="D138" i="2"/>
  <c r="C138" i="2"/>
  <c r="K138" i="2" s="1"/>
  <c r="B138" i="2"/>
  <c r="J138" i="2" s="1"/>
  <c r="E137" i="2"/>
  <c r="D137" i="2"/>
  <c r="C137" i="2"/>
  <c r="K137" i="2" s="1"/>
  <c r="B137" i="2"/>
  <c r="J137" i="2" s="1"/>
  <c r="E136" i="2"/>
  <c r="D136" i="2"/>
  <c r="C136" i="2"/>
  <c r="K136" i="2" s="1"/>
  <c r="B136" i="2"/>
  <c r="J136" i="2" s="1"/>
  <c r="E135" i="2"/>
  <c r="D135" i="2"/>
  <c r="C135" i="2"/>
  <c r="K135" i="2" s="1"/>
  <c r="B135" i="2"/>
  <c r="J135" i="2" s="1"/>
  <c r="E134" i="2"/>
  <c r="D134" i="2"/>
  <c r="I134" i="2" s="1"/>
  <c r="C134" i="2"/>
  <c r="B134" i="2"/>
  <c r="J134" i="2" s="1"/>
  <c r="E133" i="2"/>
  <c r="D133" i="2"/>
  <c r="I133" i="2" s="1"/>
  <c r="C133" i="2"/>
  <c r="B133" i="2"/>
  <c r="J133" i="2" s="1"/>
  <c r="E132" i="2"/>
  <c r="D132" i="2"/>
  <c r="C132" i="2"/>
  <c r="K132" i="2" s="1"/>
  <c r="B132" i="2"/>
  <c r="J132" i="2" s="1"/>
  <c r="E131" i="2"/>
  <c r="D131" i="2"/>
  <c r="C131" i="2"/>
  <c r="K131" i="2" s="1"/>
  <c r="B131" i="2"/>
  <c r="J131" i="2" s="1"/>
  <c r="E130" i="2"/>
  <c r="D130" i="2"/>
  <c r="C130" i="2"/>
  <c r="K130" i="2" s="1"/>
  <c r="B130" i="2"/>
  <c r="J130" i="2" s="1"/>
  <c r="E129" i="2"/>
  <c r="D129" i="2"/>
  <c r="I129" i="2" s="1"/>
  <c r="C129" i="2"/>
  <c r="K129" i="2" s="1"/>
  <c r="B129" i="2"/>
  <c r="J129" i="2" s="1"/>
  <c r="E128" i="2"/>
  <c r="D128" i="2"/>
  <c r="C128" i="2"/>
  <c r="K128" i="2" s="1"/>
  <c r="B128" i="2"/>
  <c r="J128" i="2" s="1"/>
  <c r="E127" i="2"/>
  <c r="D127" i="2"/>
  <c r="C127" i="2"/>
  <c r="K127" i="2" s="1"/>
  <c r="B127" i="2"/>
  <c r="J127" i="2" s="1"/>
  <c r="E126" i="2"/>
  <c r="D126" i="2"/>
  <c r="I126" i="2" s="1"/>
  <c r="C126" i="2"/>
  <c r="B126" i="2"/>
  <c r="J126" i="2" s="1"/>
  <c r="E125" i="2"/>
  <c r="D125" i="2"/>
  <c r="C125" i="2"/>
  <c r="K125" i="2" s="1"/>
  <c r="B125" i="2"/>
  <c r="J125" i="2" s="1"/>
  <c r="E124" i="2"/>
  <c r="D124" i="2"/>
  <c r="I124" i="2" s="1"/>
  <c r="C124" i="2"/>
  <c r="K124" i="2" s="1"/>
  <c r="B124" i="2"/>
  <c r="J124" i="2" s="1"/>
  <c r="E123" i="2"/>
  <c r="D123" i="2"/>
  <c r="C123" i="2"/>
  <c r="K123" i="2" s="1"/>
  <c r="B123" i="2"/>
  <c r="J123" i="2" s="1"/>
  <c r="E122" i="2"/>
  <c r="D122" i="2"/>
  <c r="C122" i="2"/>
  <c r="K122" i="2" s="1"/>
  <c r="B122" i="2"/>
  <c r="J122" i="2" s="1"/>
  <c r="E121" i="2"/>
  <c r="D121" i="2"/>
  <c r="C121" i="2"/>
  <c r="K121" i="2" s="1"/>
  <c r="B121" i="2"/>
  <c r="J121" i="2" s="1"/>
  <c r="E120" i="2"/>
  <c r="D120" i="2"/>
  <c r="C120" i="2"/>
  <c r="B120" i="2"/>
  <c r="J120" i="2" s="1"/>
  <c r="E119" i="2"/>
  <c r="D119" i="2"/>
  <c r="I119" i="2" s="1"/>
  <c r="C119" i="2"/>
  <c r="K119" i="2" s="1"/>
  <c r="B119" i="2"/>
  <c r="J119" i="2" s="1"/>
  <c r="E118" i="2"/>
  <c r="D118" i="2"/>
  <c r="I118" i="2" s="1"/>
  <c r="C118" i="2"/>
  <c r="K118" i="2" s="1"/>
  <c r="B118" i="2"/>
  <c r="J118" i="2" s="1"/>
  <c r="E117" i="2"/>
  <c r="D117" i="2"/>
  <c r="I117" i="2" s="1"/>
  <c r="C117" i="2"/>
  <c r="K117" i="2" s="1"/>
  <c r="B117" i="2"/>
  <c r="J117" i="2" s="1"/>
  <c r="E116" i="2"/>
  <c r="D116" i="2"/>
  <c r="I116" i="2" s="1"/>
  <c r="C116" i="2"/>
  <c r="K116" i="2" s="1"/>
  <c r="B116" i="2"/>
  <c r="J116" i="2" s="1"/>
  <c r="E115" i="2"/>
  <c r="D115" i="2"/>
  <c r="C115" i="2"/>
  <c r="K115" i="2" s="1"/>
  <c r="B115" i="2"/>
  <c r="J115" i="2" s="1"/>
  <c r="E114" i="2"/>
  <c r="D114" i="2"/>
  <c r="C114" i="2"/>
  <c r="K114" i="2" s="1"/>
  <c r="B114" i="2"/>
  <c r="J114" i="2" s="1"/>
  <c r="E113" i="2"/>
  <c r="D113" i="2"/>
  <c r="I113" i="2" s="1"/>
  <c r="C113" i="2"/>
  <c r="K113" i="2" s="1"/>
  <c r="B113" i="2"/>
  <c r="J113" i="2" s="1"/>
  <c r="E112" i="2"/>
  <c r="D112" i="2"/>
  <c r="C112" i="2"/>
  <c r="K112" i="2" s="1"/>
  <c r="B112" i="2"/>
  <c r="J112" i="2" s="1"/>
  <c r="E111" i="2"/>
  <c r="D111" i="2"/>
  <c r="C111" i="2"/>
  <c r="K111" i="2" s="1"/>
  <c r="B111" i="2"/>
  <c r="J111" i="2" s="1"/>
  <c r="E110" i="2"/>
  <c r="D110" i="2"/>
  <c r="C110" i="2"/>
  <c r="K110" i="2" s="1"/>
  <c r="B110" i="2"/>
  <c r="J110" i="2" s="1"/>
  <c r="E109" i="2"/>
  <c r="D109" i="2"/>
  <c r="C109" i="2"/>
  <c r="K109" i="2" s="1"/>
  <c r="B109" i="2"/>
  <c r="J109" i="2" s="1"/>
  <c r="E108" i="2"/>
  <c r="D108" i="2"/>
  <c r="C108" i="2"/>
  <c r="K108" i="2" s="1"/>
  <c r="B108" i="2"/>
  <c r="J108" i="2" s="1"/>
  <c r="E107" i="2"/>
  <c r="D107" i="2"/>
  <c r="I107" i="2" s="1"/>
  <c r="C107" i="2"/>
  <c r="B107" i="2"/>
  <c r="J107" i="2" s="1"/>
  <c r="E106" i="2"/>
  <c r="D106" i="2"/>
  <c r="C106" i="2"/>
  <c r="K106" i="2" s="1"/>
  <c r="B106" i="2"/>
  <c r="J106" i="2" s="1"/>
  <c r="E105" i="2"/>
  <c r="D105" i="2"/>
  <c r="C105" i="2"/>
  <c r="K105" i="2" s="1"/>
  <c r="B105" i="2"/>
  <c r="J105" i="2" s="1"/>
  <c r="E104" i="2"/>
  <c r="D104" i="2"/>
  <c r="C104" i="2"/>
  <c r="K104" i="2" s="1"/>
  <c r="B104" i="2"/>
  <c r="J104" i="2" s="1"/>
  <c r="E103" i="2"/>
  <c r="D103" i="2"/>
  <c r="C103" i="2"/>
  <c r="K103" i="2" s="1"/>
  <c r="B103" i="2"/>
  <c r="J103" i="2" s="1"/>
  <c r="E102" i="2"/>
  <c r="D102" i="2"/>
  <c r="C102" i="2"/>
  <c r="K102" i="2" s="1"/>
  <c r="B102" i="2"/>
  <c r="J102" i="2" s="1"/>
  <c r="E101" i="2"/>
  <c r="D101" i="2"/>
  <c r="C101" i="2"/>
  <c r="B101" i="2"/>
  <c r="J101" i="2" s="1"/>
  <c r="E100" i="2"/>
  <c r="D100" i="2"/>
  <c r="I100" i="2" s="1"/>
  <c r="C100" i="2"/>
  <c r="B100" i="2"/>
  <c r="J100" i="2" s="1"/>
  <c r="E99" i="2"/>
  <c r="D99" i="2"/>
  <c r="I99" i="2" s="1"/>
  <c r="C99" i="2"/>
  <c r="K99" i="2" s="1"/>
  <c r="B99" i="2"/>
  <c r="J99" i="2" s="1"/>
  <c r="E98" i="2"/>
  <c r="D98" i="2"/>
  <c r="C98" i="2"/>
  <c r="K98" i="2" s="1"/>
  <c r="B98" i="2"/>
  <c r="J98" i="2" s="1"/>
  <c r="E97" i="2"/>
  <c r="D97" i="2"/>
  <c r="C97" i="2"/>
  <c r="K97" i="2" s="1"/>
  <c r="B97" i="2"/>
  <c r="J97" i="2" s="1"/>
  <c r="E96" i="2"/>
  <c r="D96" i="2"/>
  <c r="I96" i="2" s="1"/>
  <c r="C96" i="2"/>
  <c r="B96" i="2"/>
  <c r="J96" i="2" s="1"/>
  <c r="E95" i="2"/>
  <c r="D95" i="2"/>
  <c r="C95" i="2"/>
  <c r="K95" i="2" s="1"/>
  <c r="B95" i="2"/>
  <c r="J95" i="2" s="1"/>
  <c r="E94" i="2"/>
  <c r="D94" i="2"/>
  <c r="I94" i="2" s="1"/>
  <c r="C94" i="2"/>
  <c r="K94" i="2" s="1"/>
  <c r="B94" i="2"/>
  <c r="J94" i="2" s="1"/>
  <c r="E93" i="2"/>
  <c r="D93" i="2"/>
  <c r="C93" i="2"/>
  <c r="K93" i="2" s="1"/>
  <c r="B93" i="2"/>
  <c r="J93" i="2" s="1"/>
  <c r="E92" i="2"/>
  <c r="D92" i="2"/>
  <c r="I92" i="2" s="1"/>
  <c r="C92" i="2"/>
  <c r="K92" i="2" s="1"/>
  <c r="B92" i="2"/>
  <c r="J92" i="2" s="1"/>
  <c r="E91" i="2"/>
  <c r="D91" i="2"/>
  <c r="C91" i="2"/>
  <c r="K91" i="2" s="1"/>
  <c r="B91" i="2"/>
  <c r="J91" i="2" s="1"/>
  <c r="E90" i="2"/>
  <c r="D90" i="2"/>
  <c r="I90" i="2" s="1"/>
  <c r="C90" i="2"/>
  <c r="K90" i="2" s="1"/>
  <c r="B90" i="2"/>
  <c r="J90" i="2" s="1"/>
  <c r="E89" i="2"/>
  <c r="D89" i="2"/>
  <c r="C89" i="2"/>
  <c r="K89" i="2" s="1"/>
  <c r="B89" i="2"/>
  <c r="J89" i="2" s="1"/>
  <c r="E88" i="2"/>
  <c r="D88" i="2"/>
  <c r="I88" i="2" s="1"/>
  <c r="C88" i="2"/>
  <c r="B88" i="2"/>
  <c r="J88" i="2" s="1"/>
  <c r="E87" i="2"/>
  <c r="D87" i="2"/>
  <c r="I87" i="2" s="1"/>
  <c r="C87" i="2"/>
  <c r="K87" i="2" s="1"/>
  <c r="B87" i="2"/>
  <c r="J87" i="2" s="1"/>
  <c r="E86" i="2"/>
  <c r="D86" i="2"/>
  <c r="C86" i="2"/>
  <c r="K86" i="2" s="1"/>
  <c r="B86" i="2"/>
  <c r="J86" i="2" s="1"/>
  <c r="E85" i="2"/>
  <c r="D85" i="2"/>
  <c r="C85" i="2"/>
  <c r="K85" i="2" s="1"/>
  <c r="B85" i="2"/>
  <c r="J85" i="2" s="1"/>
  <c r="E84" i="2"/>
  <c r="D84" i="2"/>
  <c r="I84" i="2" s="1"/>
  <c r="C84" i="2"/>
  <c r="K84" i="2" s="1"/>
  <c r="B84" i="2"/>
  <c r="J84" i="2" s="1"/>
  <c r="E83" i="2"/>
  <c r="D83" i="2"/>
  <c r="C83" i="2"/>
  <c r="K83" i="2" s="1"/>
  <c r="B83" i="2"/>
  <c r="J83" i="2" s="1"/>
  <c r="E82" i="2"/>
  <c r="D82" i="2"/>
  <c r="C82" i="2"/>
  <c r="K82" i="2" s="1"/>
  <c r="B82" i="2"/>
  <c r="J82" i="2" s="1"/>
  <c r="E81" i="2"/>
  <c r="D81" i="2"/>
  <c r="I81" i="2" s="1"/>
  <c r="C81" i="2"/>
  <c r="K81" i="2" s="1"/>
  <c r="B81" i="2"/>
  <c r="J81" i="2" s="1"/>
  <c r="E80" i="2"/>
  <c r="D80" i="2"/>
  <c r="I80" i="2" s="1"/>
  <c r="C80" i="2"/>
  <c r="K80" i="2" s="1"/>
  <c r="B80" i="2"/>
  <c r="J80" i="2" s="1"/>
  <c r="E79" i="2"/>
  <c r="D79" i="2"/>
  <c r="C79" i="2"/>
  <c r="K79" i="2" s="1"/>
  <c r="B79" i="2"/>
  <c r="J79" i="2" s="1"/>
  <c r="E78" i="2"/>
  <c r="D78" i="2"/>
  <c r="C78" i="2"/>
  <c r="K78" i="2" s="1"/>
  <c r="B78" i="2"/>
  <c r="J78" i="2" s="1"/>
  <c r="E77" i="2"/>
  <c r="D77" i="2"/>
  <c r="C77" i="2"/>
  <c r="B77" i="2"/>
  <c r="J77" i="2" s="1"/>
  <c r="E76" i="2"/>
  <c r="D76" i="2"/>
  <c r="I76" i="2" s="1"/>
  <c r="C76" i="2"/>
  <c r="B76" i="2"/>
  <c r="J76" i="2" s="1"/>
  <c r="E75" i="2"/>
  <c r="D75" i="2"/>
  <c r="I75" i="2" s="1"/>
  <c r="C75" i="2"/>
  <c r="K75" i="2" s="1"/>
  <c r="B75" i="2"/>
  <c r="J75" i="2" s="1"/>
  <c r="E74" i="2"/>
  <c r="D74" i="2"/>
  <c r="C74" i="2"/>
  <c r="K74" i="2" s="1"/>
  <c r="B74" i="2"/>
  <c r="J74" i="2" s="1"/>
  <c r="E73" i="2"/>
  <c r="D73" i="2"/>
  <c r="C73" i="2"/>
  <c r="B73" i="2"/>
  <c r="J73" i="2" s="1"/>
  <c r="E72" i="2"/>
  <c r="D72" i="2"/>
  <c r="I72" i="2" s="1"/>
  <c r="C72" i="2"/>
  <c r="B72" i="2"/>
  <c r="J72" i="2" s="1"/>
  <c r="E71" i="2"/>
  <c r="D71" i="2"/>
  <c r="I71" i="2" s="1"/>
  <c r="C71" i="2"/>
  <c r="K71" i="2" s="1"/>
  <c r="B71" i="2"/>
  <c r="J71" i="2" s="1"/>
  <c r="E70" i="2"/>
  <c r="D70" i="2"/>
  <c r="C70" i="2"/>
  <c r="K70" i="2" s="1"/>
  <c r="B70" i="2"/>
  <c r="J70" i="2" s="1"/>
  <c r="E69" i="2"/>
  <c r="D69" i="2"/>
  <c r="C69" i="2"/>
  <c r="K69" i="2" s="1"/>
  <c r="B69" i="2"/>
  <c r="J69" i="2" s="1"/>
  <c r="E68" i="2"/>
  <c r="D68" i="2"/>
  <c r="C68" i="2"/>
  <c r="K68" i="2" s="1"/>
  <c r="B68" i="2"/>
  <c r="J68" i="2" s="1"/>
  <c r="E67" i="2"/>
  <c r="D67" i="2"/>
  <c r="I67" i="2" s="1"/>
  <c r="C67" i="2"/>
  <c r="K67" i="2" s="1"/>
  <c r="B67" i="2"/>
  <c r="J67" i="2" s="1"/>
  <c r="E66" i="2"/>
  <c r="D66" i="2"/>
  <c r="C66" i="2"/>
  <c r="K66" i="2" s="1"/>
  <c r="B66" i="2"/>
  <c r="J66" i="2" s="1"/>
  <c r="E65" i="2"/>
  <c r="D65" i="2"/>
  <c r="C65" i="2"/>
  <c r="B65" i="2"/>
  <c r="J65" i="2" s="1"/>
  <c r="E64" i="2"/>
  <c r="D64" i="2"/>
  <c r="I64" i="2" s="1"/>
  <c r="C64" i="2"/>
  <c r="B64" i="2"/>
  <c r="J64" i="2" s="1"/>
  <c r="E63" i="2"/>
  <c r="D63" i="2"/>
  <c r="C63" i="2"/>
  <c r="K63" i="2" s="1"/>
  <c r="B63" i="2"/>
  <c r="J63" i="2" s="1"/>
  <c r="E62" i="2"/>
  <c r="D62" i="2"/>
  <c r="C62" i="2"/>
  <c r="K62" i="2" s="1"/>
  <c r="B62" i="2"/>
  <c r="J62" i="2" s="1"/>
  <c r="E61" i="2"/>
  <c r="D61" i="2"/>
  <c r="C61" i="2"/>
  <c r="K61" i="2" s="1"/>
  <c r="B61" i="2"/>
  <c r="J61" i="2" s="1"/>
  <c r="E60" i="2"/>
  <c r="D60" i="2"/>
  <c r="C60" i="2"/>
  <c r="K60" i="2" s="1"/>
  <c r="B60" i="2"/>
  <c r="J60" i="2" s="1"/>
  <c r="E59" i="2"/>
  <c r="D59" i="2"/>
  <c r="I59" i="2" s="1"/>
  <c r="C59" i="2"/>
  <c r="K59" i="2" s="1"/>
  <c r="B59" i="2"/>
  <c r="J59" i="2" s="1"/>
  <c r="E58" i="2"/>
  <c r="D58" i="2"/>
  <c r="C58" i="2"/>
  <c r="K58" i="2" s="1"/>
  <c r="B58" i="2"/>
  <c r="J58" i="2" s="1"/>
  <c r="E57" i="2"/>
  <c r="D57" i="2"/>
  <c r="C57" i="2"/>
  <c r="K57" i="2" s="1"/>
  <c r="B57" i="2"/>
  <c r="J57" i="2" s="1"/>
  <c r="E56" i="2"/>
  <c r="D56" i="2"/>
  <c r="C56" i="2"/>
  <c r="B56" i="2"/>
  <c r="J56" i="2" s="1"/>
  <c r="E55" i="2"/>
  <c r="D55" i="2"/>
  <c r="C55" i="2"/>
  <c r="K55" i="2" s="1"/>
  <c r="B55" i="2"/>
  <c r="J55" i="2" s="1"/>
  <c r="E54" i="2"/>
  <c r="D54" i="2"/>
  <c r="C54" i="2"/>
  <c r="K54" i="2" s="1"/>
  <c r="B54" i="2"/>
  <c r="J54" i="2" s="1"/>
  <c r="E53" i="2"/>
  <c r="D53" i="2"/>
  <c r="I53" i="2" s="1"/>
  <c r="C53" i="2"/>
  <c r="B53" i="2"/>
  <c r="J53" i="2" s="1"/>
  <c r="E52" i="2"/>
  <c r="D52" i="2"/>
  <c r="C52" i="2"/>
  <c r="K52" i="2" s="1"/>
  <c r="B52" i="2"/>
  <c r="J52" i="2" s="1"/>
  <c r="E51" i="2"/>
  <c r="D51" i="2"/>
  <c r="I51" i="2" s="1"/>
  <c r="C51" i="2"/>
  <c r="K51" i="2" s="1"/>
  <c r="B51" i="2"/>
  <c r="J51" i="2" s="1"/>
  <c r="E50" i="2"/>
  <c r="D50" i="2"/>
  <c r="C50" i="2"/>
  <c r="K50" i="2" s="1"/>
  <c r="B50" i="2"/>
  <c r="J50" i="2" s="1"/>
  <c r="E49" i="2"/>
  <c r="D49" i="2"/>
  <c r="C49" i="2"/>
  <c r="K49" i="2" s="1"/>
  <c r="B49" i="2"/>
  <c r="J49" i="2" s="1"/>
  <c r="E48" i="2"/>
  <c r="D48" i="2"/>
  <c r="C48" i="2"/>
  <c r="K48" i="2" s="1"/>
  <c r="B48" i="2"/>
  <c r="J48" i="2" s="1"/>
  <c r="E47" i="2"/>
  <c r="D47" i="2"/>
  <c r="C47" i="2"/>
  <c r="K47" i="2" s="1"/>
  <c r="B47" i="2"/>
  <c r="J47" i="2" s="1"/>
  <c r="E46" i="2"/>
  <c r="D46" i="2"/>
  <c r="C46" i="2"/>
  <c r="K46" i="2" s="1"/>
  <c r="B46" i="2"/>
  <c r="J46" i="2" s="1"/>
  <c r="E45" i="2"/>
  <c r="D45" i="2"/>
  <c r="I45" i="2" s="1"/>
  <c r="C45" i="2"/>
  <c r="K45" i="2" s="1"/>
  <c r="B45" i="2"/>
  <c r="J45" i="2" s="1"/>
  <c r="E44" i="2"/>
  <c r="D44" i="2"/>
  <c r="C44" i="2"/>
  <c r="K44" i="2" s="1" a="1"/>
  <c r="K44" i="2" s="1"/>
  <c r="B44" i="2"/>
  <c r="J44" i="2" s="1" a="1"/>
  <c r="J44" i="2" s="1"/>
  <c r="E43" i="2"/>
  <c r="D43" i="2"/>
  <c r="I43" i="2" s="1"/>
  <c r="C43" i="2"/>
  <c r="K43" i="2" s="1" a="1"/>
  <c r="K43" i="2" s="1"/>
  <c r="B43" i="2"/>
  <c r="J43" i="2" s="1" a="1"/>
  <c r="J43" i="2" s="1"/>
  <c r="E42" i="2"/>
  <c r="D42" i="2"/>
  <c r="C42" i="2"/>
  <c r="K42" i="2" s="1" a="1"/>
  <c r="K42" i="2" s="1"/>
  <c r="B42" i="2"/>
  <c r="J42" i="2" s="1" a="1"/>
  <c r="J42" i="2" s="1"/>
  <c r="E41" i="2"/>
  <c r="D41" i="2"/>
  <c r="C41" i="2"/>
  <c r="K41" i="2" s="1" a="1"/>
  <c r="K41" i="2" s="1"/>
  <c r="B41" i="2"/>
  <c r="J41" i="2" s="1" a="1"/>
  <c r="J41" i="2" s="1"/>
  <c r="E40" i="2"/>
  <c r="D40" i="2"/>
  <c r="C40" i="2"/>
  <c r="K40" i="2" s="1" a="1"/>
  <c r="K40" i="2" s="1"/>
  <c r="B40" i="2"/>
  <c r="J40" i="2" s="1" a="1"/>
  <c r="J40" i="2" s="1"/>
  <c r="E39" i="2"/>
  <c r="D39" i="2"/>
  <c r="I39" i="2" s="1"/>
  <c r="C39" i="2"/>
  <c r="M39" i="2" s="1"/>
  <c r="B39" i="2"/>
  <c r="J39" i="2" s="1" a="1"/>
  <c r="J39" i="2" s="1"/>
  <c r="E38" i="2"/>
  <c r="D38" i="2"/>
  <c r="C38" i="2"/>
  <c r="K38" i="2" s="1" a="1"/>
  <c r="K38" i="2" s="1"/>
  <c r="B38" i="2"/>
  <c r="J38" i="2" s="1" a="1"/>
  <c r="J38" i="2" s="1"/>
  <c r="E37" i="2"/>
  <c r="D37" i="2"/>
  <c r="C37" i="2"/>
  <c r="K37" i="2" s="1" a="1"/>
  <c r="K37" i="2" s="1"/>
  <c r="B37" i="2"/>
  <c r="J37" i="2" s="1" a="1"/>
  <c r="J37" i="2" s="1"/>
  <c r="E36" i="2"/>
  <c r="D36" i="2"/>
  <c r="I36" i="2" s="1"/>
  <c r="C36" i="2"/>
  <c r="K36" i="2" s="1" a="1"/>
  <c r="K36" i="2" s="1"/>
  <c r="B36" i="2"/>
  <c r="J36" i="2" s="1" a="1"/>
  <c r="J36" i="2" s="1"/>
  <c r="E35" i="2"/>
  <c r="D35" i="2"/>
  <c r="C35" i="2"/>
  <c r="K35" i="2" s="1" a="1"/>
  <c r="K35" i="2" s="1"/>
  <c r="B35" i="2"/>
  <c r="J35" i="2" s="1" a="1"/>
  <c r="J35" i="2" s="1"/>
  <c r="E34" i="2"/>
  <c r="D34" i="2"/>
  <c r="I34" i="2" s="1"/>
  <c r="C34" i="2"/>
  <c r="K34" i="2" s="1" a="1"/>
  <c r="K34" i="2" s="1"/>
  <c r="B34" i="2"/>
  <c r="J34" i="2" s="1" a="1"/>
  <c r="J34" i="2" s="1"/>
  <c r="E33" i="2"/>
  <c r="D33" i="2"/>
  <c r="I33" i="2" s="1"/>
  <c r="C33" i="2"/>
  <c r="K33" i="2" s="1" a="1"/>
  <c r="K33" i="2" s="1"/>
  <c r="B33" i="2"/>
  <c r="J33" i="2" s="1" a="1"/>
  <c r="J33" i="2" s="1"/>
  <c r="E32" i="2"/>
  <c r="D32" i="2"/>
  <c r="I32" i="2" s="1"/>
  <c r="C32" i="2"/>
  <c r="K32" i="2" s="1" a="1"/>
  <c r="K32" i="2" s="1"/>
  <c r="B32" i="2"/>
  <c r="J32" i="2" s="1" a="1"/>
  <c r="J32" i="2" s="1"/>
  <c r="E31" i="2"/>
  <c r="D31" i="2"/>
  <c r="C31" i="2"/>
  <c r="K31" i="2" s="1" a="1"/>
  <c r="K31" i="2" s="1"/>
  <c r="B31" i="2"/>
  <c r="J31" i="2" s="1" a="1"/>
  <c r="J31" i="2" s="1"/>
  <c r="E30" i="2"/>
  <c r="D30" i="2"/>
  <c r="C30" i="2"/>
  <c r="K30" i="2" s="1" a="1"/>
  <c r="K30" i="2" s="1"/>
  <c r="B30" i="2"/>
  <c r="J30" i="2" s="1" a="1"/>
  <c r="J30" i="2" s="1"/>
  <c r="E29" i="2"/>
  <c r="D29" i="2"/>
  <c r="C29" i="2"/>
  <c r="K29" i="2" s="1" a="1"/>
  <c r="K29" i="2" s="1"/>
  <c r="B29" i="2"/>
  <c r="J29" i="2" s="1" a="1"/>
  <c r="J29" i="2" s="1"/>
  <c r="E28" i="2"/>
  <c r="D28" i="2"/>
  <c r="C28" i="2"/>
  <c r="K28" i="2" s="1" a="1"/>
  <c r="K28" i="2" s="1"/>
  <c r="B28" i="2"/>
  <c r="J28" i="2" s="1" a="1"/>
  <c r="J28" i="2" s="1"/>
  <c r="E27" i="2"/>
  <c r="D27" i="2"/>
  <c r="C27" i="2"/>
  <c r="K27" i="2" s="1" a="1"/>
  <c r="K27" i="2" s="1"/>
  <c r="B27" i="2"/>
  <c r="J27" i="2" s="1" a="1"/>
  <c r="J27" i="2" s="1"/>
  <c r="E26" i="2"/>
  <c r="D26" i="2"/>
  <c r="C26" i="2"/>
  <c r="K26" i="2" s="1" a="1"/>
  <c r="K26" i="2" s="1"/>
  <c r="B26" i="2"/>
  <c r="J26" i="2" s="1" a="1"/>
  <c r="J26" i="2" s="1"/>
  <c r="E25" i="2"/>
  <c r="D25" i="2"/>
  <c r="C25" i="2"/>
  <c r="K25" i="2" s="1" a="1"/>
  <c r="K25" i="2" s="1"/>
  <c r="B25" i="2"/>
  <c r="J25" i="2" s="1" a="1"/>
  <c r="J25" i="2" s="1"/>
  <c r="E24" i="2"/>
  <c r="D24" i="2"/>
  <c r="I24" i="2" s="1"/>
  <c r="C24" i="2"/>
  <c r="K24" i="2" s="1" a="1"/>
  <c r="K24" i="2" s="1"/>
  <c r="B24" i="2"/>
  <c r="J24" i="2" s="1" a="1"/>
  <c r="J24" i="2" s="1"/>
  <c r="E23" i="2"/>
  <c r="D23" i="2"/>
  <c r="I23" i="2" s="1"/>
  <c r="C23" i="2"/>
  <c r="M23" i="2" s="1"/>
  <c r="B23" i="2"/>
  <c r="J23" i="2" s="1" a="1"/>
  <c r="J23" i="2" s="1"/>
  <c r="E22" i="2"/>
  <c r="D22" i="2"/>
  <c r="I22" i="2" s="1"/>
  <c r="C22" i="2"/>
  <c r="K22" i="2" s="1" a="1"/>
  <c r="K22" i="2" s="1"/>
  <c r="B22" i="2"/>
  <c r="J22" i="2" s="1" a="1"/>
  <c r="J22" i="2" s="1"/>
  <c r="E21" i="2"/>
  <c r="D21" i="2"/>
  <c r="I21" i="2" s="1"/>
  <c r="C21" i="2"/>
  <c r="K21" i="2" s="1" a="1"/>
  <c r="K21" i="2" s="1"/>
  <c r="B21" i="2"/>
  <c r="J21" i="2" s="1" a="1"/>
  <c r="J21" i="2" s="1"/>
  <c r="E20" i="2"/>
  <c r="D20" i="2"/>
  <c r="I20" i="2" s="1"/>
  <c r="C20" i="2"/>
  <c r="K20" i="2" s="1" a="1"/>
  <c r="K20" i="2" s="1"/>
  <c r="B20" i="2"/>
  <c r="J20" i="2" s="1" a="1"/>
  <c r="J20" i="2" s="1"/>
  <c r="E19" i="2"/>
  <c r="D19" i="2"/>
  <c r="C19" i="2"/>
  <c r="K19" i="2" s="1" a="1"/>
  <c r="K19" i="2" s="1"/>
  <c r="B19" i="2"/>
  <c r="J19" i="2" s="1" a="1"/>
  <c r="J19" i="2" s="1"/>
  <c r="E18" i="2"/>
  <c r="D18" i="2"/>
  <c r="C18" i="2"/>
  <c r="K18" i="2" s="1" a="1"/>
  <c r="K18" i="2" s="1"/>
  <c r="B18" i="2"/>
  <c r="J18" i="2" s="1" a="1"/>
  <c r="J18" i="2" s="1"/>
  <c r="E17" i="2"/>
  <c r="D17" i="2"/>
  <c r="C17" i="2"/>
  <c r="K17" i="2" s="1" a="1"/>
  <c r="K17" i="2" s="1"/>
  <c r="B17" i="2"/>
  <c r="J17" i="2" s="1" a="1"/>
  <c r="J17" i="2" s="1"/>
  <c r="E16" i="2"/>
  <c r="D16" i="2"/>
  <c r="I16" i="2" s="1"/>
  <c r="C16" i="2"/>
  <c r="K16" i="2" s="1" a="1"/>
  <c r="K16" i="2" s="1"/>
  <c r="B16" i="2"/>
  <c r="J16" i="2" s="1" a="1"/>
  <c r="J16" i="2" s="1"/>
  <c r="E15" i="2"/>
  <c r="D15" i="2"/>
  <c r="C15" i="2"/>
  <c r="K15" i="2" s="1" a="1"/>
  <c r="K15" i="2" s="1"/>
  <c r="B15" i="2"/>
  <c r="J15" i="2" s="1" a="1"/>
  <c r="J15" i="2" s="1"/>
  <c r="E14" i="2"/>
  <c r="D14" i="2"/>
  <c r="I14" i="2" s="1"/>
  <c r="C14" i="2"/>
  <c r="K14" i="2" s="1" a="1"/>
  <c r="K14" i="2" s="1"/>
  <c r="B14" i="2"/>
  <c r="J14" i="2" s="1" a="1"/>
  <c r="J14" i="2" s="1"/>
  <c r="E13" i="2"/>
  <c r="D13" i="2"/>
  <c r="C13" i="2"/>
  <c r="K13" i="2" s="1" a="1"/>
  <c r="K13" i="2" s="1"/>
  <c r="B13" i="2"/>
  <c r="J13" i="2" s="1" a="1"/>
  <c r="J13" i="2" s="1"/>
  <c r="E12" i="2"/>
  <c r="D12" i="2"/>
  <c r="C12" i="2"/>
  <c r="K12" i="2" s="1" a="1"/>
  <c r="K12" i="2" s="1"/>
  <c r="B12" i="2"/>
  <c r="J12" i="2" s="1" a="1"/>
  <c r="J12" i="2" s="1"/>
  <c r="E11" i="2"/>
  <c r="D11" i="2"/>
  <c r="I11" i="2" s="1"/>
  <c r="C11" i="2"/>
  <c r="K11" i="2" s="1" a="1"/>
  <c r="K11" i="2" s="1"/>
  <c r="B11" i="2"/>
  <c r="J11" i="2" s="1" a="1"/>
  <c r="J11" i="2" s="1"/>
  <c r="E10" i="2"/>
  <c r="D10" i="2"/>
  <c r="C10" i="2"/>
  <c r="K10" i="2" s="1" a="1"/>
  <c r="K10" i="2" s="1"/>
  <c r="B10" i="2"/>
  <c r="J10" i="2" s="1" a="1"/>
  <c r="J10" i="2" s="1"/>
  <c r="E9" i="2"/>
  <c r="D9" i="2"/>
  <c r="C9" i="2"/>
  <c r="K9" i="2" s="1" a="1"/>
  <c r="K9" i="2" s="1"/>
  <c r="B9" i="2"/>
  <c r="J9" i="2" s="1" a="1"/>
  <c r="J9" i="2" s="1"/>
  <c r="E8" i="2"/>
  <c r="D8" i="2"/>
  <c r="I8" i="2" s="1"/>
  <c r="C8" i="2"/>
  <c r="K8" i="2" s="1" a="1"/>
  <c r="K8" i="2" s="1"/>
  <c r="B8" i="2"/>
  <c r="J8" i="2" s="1" a="1"/>
  <c r="J8" i="2" s="1"/>
  <c r="E7" i="2"/>
  <c r="D7" i="2"/>
  <c r="I7" i="2" s="1"/>
  <c r="C7" i="2"/>
  <c r="K7" i="2" s="1" a="1"/>
  <c r="K7" i="2" s="1"/>
  <c r="B7" i="2"/>
  <c r="J7" i="2" s="1" a="1"/>
  <c r="J7" i="2" s="1"/>
  <c r="E6" i="2"/>
  <c r="D6" i="2"/>
  <c r="C6" i="2"/>
  <c r="K6" i="2" s="1" a="1"/>
  <c r="K6" i="2" s="1"/>
  <c r="B6" i="2"/>
  <c r="J6" i="2" s="1" a="1"/>
  <c r="J6" i="2" s="1"/>
  <c r="E5" i="2"/>
  <c r="D5" i="2"/>
  <c r="C5" i="2"/>
  <c r="K5" i="2" s="1" a="1"/>
  <c r="K5" i="2" s="1"/>
  <c r="B5" i="2"/>
  <c r="J5" i="2" s="1" a="1"/>
  <c r="J5" i="2" s="1"/>
  <c r="E4" i="2"/>
  <c r="D4" i="2"/>
  <c r="I4" i="2" s="1"/>
  <c r="C4" i="2"/>
  <c r="K4" i="2" s="1" a="1"/>
  <c r="K4" i="2" s="1"/>
  <c r="B4" i="2"/>
  <c r="J4" i="2" s="1" a="1"/>
  <c r="J4" i="2" s="1"/>
  <c r="I3" i="2"/>
  <c r="E3" i="2"/>
  <c r="D3" i="2"/>
  <c r="C3" i="2"/>
  <c r="K3" i="2" s="1" a="1"/>
  <c r="K3" i="2" s="1"/>
  <c r="B3" i="2"/>
  <c r="J3" i="2" s="1" a="1"/>
  <c r="J3" i="2" s="1"/>
  <c r="J11" i="1"/>
  <c r="J10" i="1"/>
  <c r="J9" i="1"/>
  <c r="J8" i="1"/>
  <c r="J7" i="1"/>
  <c r="J6" i="1"/>
  <c r="J5" i="1"/>
  <c r="J4" i="1"/>
  <c r="J3" i="1"/>
  <c r="N178" i="2" l="1"/>
  <c r="N64" i="2"/>
  <c r="N76" i="2"/>
  <c r="N100" i="2"/>
  <c r="D19" i="7"/>
  <c r="D35" i="7"/>
  <c r="M8" i="3"/>
  <c r="D11" i="7"/>
  <c r="N157" i="2"/>
  <c r="N169" i="2"/>
  <c r="D5" i="7"/>
  <c r="N197" i="2"/>
  <c r="M7" i="3"/>
  <c r="M77" i="2"/>
  <c r="N134" i="2"/>
  <c r="M170" i="2"/>
  <c r="N190" i="2"/>
  <c r="N115" i="2"/>
  <c r="M3" i="3"/>
  <c r="M26" i="2"/>
  <c r="M48" i="2"/>
  <c r="N172" i="2"/>
  <c r="M176" i="2"/>
  <c r="O3" i="3"/>
  <c r="D3" i="7"/>
  <c r="N145" i="2"/>
  <c r="S33" i="3"/>
  <c r="T33" i="3" s="1"/>
  <c r="S17" i="3"/>
  <c r="T17" i="3" s="1"/>
  <c r="N111" i="2"/>
  <c r="N179" i="2"/>
  <c r="M194" i="2"/>
  <c r="M9" i="3"/>
  <c r="N144" i="2"/>
  <c r="L164" i="2"/>
  <c r="M183" i="2"/>
  <c r="N48" i="2"/>
  <c r="L128" i="2"/>
  <c r="N61" i="2"/>
  <c r="L101" i="2"/>
  <c r="N191" i="2"/>
  <c r="O18" i="3"/>
  <c r="M15" i="3"/>
  <c r="N130" i="2"/>
  <c r="D13" i="7"/>
  <c r="M13" i="7" s="1"/>
  <c r="M16" i="3"/>
  <c r="O19" i="3"/>
  <c r="N153" i="2"/>
  <c r="L184" i="2"/>
  <c r="M195" i="2"/>
  <c r="O16" i="3"/>
  <c r="N146" i="2"/>
  <c r="M164" i="2"/>
  <c r="M161" i="2"/>
  <c r="K164" i="2"/>
  <c r="M24" i="3"/>
  <c r="M28" i="3"/>
  <c r="N143" i="2"/>
  <c r="I161" i="2"/>
  <c r="N164" i="2"/>
  <c r="N196" i="2"/>
  <c r="M200" i="2"/>
  <c r="M32" i="3"/>
  <c r="D29" i="7"/>
  <c r="M29" i="7" s="1"/>
  <c r="S29" i="3" s="1"/>
  <c r="T29" i="3" s="1"/>
  <c r="M56" i="2"/>
  <c r="N89" i="2"/>
  <c r="N127" i="2"/>
  <c r="L13" i="2"/>
  <c r="M40" i="2"/>
  <c r="N58" i="2"/>
  <c r="I61" i="2"/>
  <c r="L29" i="2"/>
  <c r="N95" i="2"/>
  <c r="M10" i="2"/>
  <c r="I48" i="2"/>
  <c r="L61" i="2"/>
  <c r="N121" i="2"/>
  <c r="M51" i="2"/>
  <c r="M61" i="2"/>
  <c r="N73" i="2"/>
  <c r="L77" i="2"/>
  <c r="K178" i="2"/>
  <c r="G25" i="7"/>
  <c r="N97" i="2"/>
  <c r="N82" i="2"/>
  <c r="M101" i="2"/>
  <c r="M133" i="2"/>
  <c r="I101" i="2"/>
  <c r="M54" i="2"/>
  <c r="L83" i="2"/>
  <c r="N102" i="2"/>
  <c r="I13" i="2"/>
  <c r="N110" i="2"/>
  <c r="N96" i="2"/>
  <c r="M193" i="2"/>
  <c r="O21" i="3"/>
  <c r="N162" i="2"/>
  <c r="M148" i="2"/>
  <c r="N186" i="2"/>
  <c r="O15" i="3"/>
  <c r="M144" i="2"/>
  <c r="M152" i="2"/>
  <c r="O8" i="3"/>
  <c r="M141" i="2"/>
  <c r="L169" i="2"/>
  <c r="O5" i="3"/>
  <c r="L129" i="2"/>
  <c r="L156" i="2"/>
  <c r="M163" i="2"/>
  <c r="N177" i="2"/>
  <c r="N198" i="2"/>
  <c r="L42" i="2"/>
  <c r="N74" i="2"/>
  <c r="L94" i="2"/>
  <c r="M177" i="2"/>
  <c r="D15" i="7"/>
  <c r="N141" i="2"/>
  <c r="G12" i="7"/>
  <c r="H12" i="7" s="1"/>
  <c r="M11" i="2"/>
  <c r="M32" i="2"/>
  <c r="M64" i="2"/>
  <c r="M81" i="2"/>
  <c r="N88" i="2"/>
  <c r="L134" i="2"/>
  <c r="N155" i="2"/>
  <c r="N174" i="2"/>
  <c r="M180" i="2"/>
  <c r="N183" i="2"/>
  <c r="L198" i="2"/>
  <c r="O31" i="3"/>
  <c r="D25" i="7"/>
  <c r="M25" i="7" s="1"/>
  <c r="S25" i="3" s="1"/>
  <c r="M149" i="2"/>
  <c r="M165" i="2"/>
  <c r="N171" i="2"/>
  <c r="M3" i="2"/>
  <c r="M6" i="2"/>
  <c r="M12" i="2"/>
  <c r="L43" i="2"/>
  <c r="K134" i="2"/>
  <c r="L152" i="2"/>
  <c r="N187" i="2"/>
  <c r="N193" i="2"/>
  <c r="M25" i="3"/>
  <c r="M123" i="2"/>
  <c r="N53" i="2"/>
  <c r="L72" i="2"/>
  <c r="K101" i="2"/>
  <c r="O32" i="3"/>
  <c r="K149" i="2"/>
  <c r="M175" i="2"/>
  <c r="M178" i="2"/>
  <c r="N181" i="2"/>
  <c r="I193" i="2"/>
  <c r="M6" i="3"/>
  <c r="O12" i="3"/>
  <c r="M19" i="2"/>
  <c r="I26" i="2"/>
  <c r="M43" i="2"/>
  <c r="N56" i="2"/>
  <c r="N69" i="2"/>
  <c r="I82" i="2"/>
  <c r="I121" i="2"/>
  <c r="I127" i="2"/>
  <c r="I169" i="2"/>
  <c r="L190" i="2"/>
  <c r="O22" i="3"/>
  <c r="D23" i="7"/>
  <c r="D39" i="7"/>
  <c r="K193" i="2"/>
  <c r="G36" i="7"/>
  <c r="H36" i="7" s="1"/>
  <c r="L81" i="2"/>
  <c r="M9" i="2"/>
  <c r="K72" i="2"/>
  <c r="I89" i="2"/>
  <c r="N112" i="2"/>
  <c r="L115" i="2"/>
  <c r="L118" i="2"/>
  <c r="L127" i="2"/>
  <c r="M4" i="2"/>
  <c r="M30" i="2"/>
  <c r="M37" i="2"/>
  <c r="L53" i="2"/>
  <c r="N83" i="2"/>
  <c r="N86" i="2"/>
  <c r="M99" i="2"/>
  <c r="N109" i="2"/>
  <c r="M118" i="2"/>
  <c r="M127" i="2"/>
  <c r="L133" i="2"/>
  <c r="N147" i="2"/>
  <c r="L185" i="2"/>
  <c r="M188" i="2"/>
  <c r="M67" i="2"/>
  <c r="M46" i="2"/>
  <c r="I29" i="2"/>
  <c r="M59" i="2"/>
  <c r="L89" i="2"/>
  <c r="N118" i="2"/>
  <c r="L121" i="2"/>
  <c r="M27" i="2"/>
  <c r="L48" i="2"/>
  <c r="N77" i="2"/>
  <c r="M89" i="2"/>
  <c r="K96" i="2"/>
  <c r="M121" i="2"/>
  <c r="N136" i="2"/>
  <c r="N140" i="2"/>
  <c r="M169" i="2"/>
  <c r="M185" i="2"/>
  <c r="L200" i="2"/>
  <c r="N81" i="2"/>
  <c r="N99" i="2"/>
  <c r="I157" i="2"/>
  <c r="L176" i="2"/>
  <c r="N185" i="2"/>
  <c r="G17" i="7"/>
  <c r="M45" i="2"/>
  <c r="N114" i="2"/>
  <c r="L4" i="2"/>
  <c r="M38" i="2"/>
  <c r="I77" i="2"/>
  <c r="N128" i="2"/>
  <c r="K133" i="2"/>
  <c r="M151" i="2"/>
  <c r="M154" i="2"/>
  <c r="L161" i="2"/>
  <c r="M173" i="2"/>
  <c r="M189" i="2"/>
  <c r="D21" i="7"/>
  <c r="M21" i="7" s="1"/>
  <c r="S21" i="3" s="1"/>
  <c r="D37" i="7"/>
  <c r="M37" i="7" s="1"/>
  <c r="S37" i="3" s="1"/>
  <c r="L14" i="2"/>
  <c r="I46" i="2"/>
  <c r="N49" i="2"/>
  <c r="M62" i="2"/>
  <c r="N105" i="2"/>
  <c r="M105" i="2"/>
  <c r="N139" i="2"/>
  <c r="I139" i="2"/>
  <c r="M14" i="2"/>
  <c r="I17" i="2"/>
  <c r="M17" i="2"/>
  <c r="L17" i="2"/>
  <c r="I38" i="2"/>
  <c r="I54" i="2"/>
  <c r="N57" i="2"/>
  <c r="L57" i="2"/>
  <c r="N65" i="2"/>
  <c r="K65" i="2"/>
  <c r="K73" i="2"/>
  <c r="N92" i="2"/>
  <c r="I95" i="2"/>
  <c r="I97" i="2"/>
  <c r="I102" i="2"/>
  <c r="I108" i="2"/>
  <c r="L108" i="2"/>
  <c r="L7" i="2"/>
  <c r="L20" i="2"/>
  <c r="I49" i="2"/>
  <c r="N52" i="2"/>
  <c r="N60" i="2"/>
  <c r="I62" i="2"/>
  <c r="M65" i="2"/>
  <c r="L65" i="2"/>
  <c r="I65" i="2"/>
  <c r="L73" i="2"/>
  <c r="L95" i="2"/>
  <c r="I105" i="2"/>
  <c r="K23" i="2" a="1"/>
  <c r="K23" i="2" s="1"/>
  <c r="M44" i="2"/>
  <c r="I57" i="2"/>
  <c r="N71" i="2"/>
  <c r="N79" i="2"/>
  <c r="M87" i="2"/>
  <c r="M95" i="2"/>
  <c r="M108" i="2"/>
  <c r="N125" i="2"/>
  <c r="L125" i="2"/>
  <c r="M70" i="2"/>
  <c r="I70" i="2"/>
  <c r="M7" i="2"/>
  <c r="M20" i="2"/>
  <c r="I30" i="2"/>
  <c r="I10" i="2"/>
  <c r="L23" i="2"/>
  <c r="L28" i="2"/>
  <c r="L30" i="2"/>
  <c r="N47" i="2"/>
  <c r="L49" i="2"/>
  <c r="N93" i="2"/>
  <c r="L97" i="2"/>
  <c r="L102" i="2"/>
  <c r="L105" i="2"/>
  <c r="N108" i="2"/>
  <c r="I114" i="2"/>
  <c r="M97" i="2"/>
  <c r="M5" i="2"/>
  <c r="I5" i="2"/>
  <c r="M18" i="2"/>
  <c r="M21" i="2"/>
  <c r="M33" i="2"/>
  <c r="L36" i="2"/>
  <c r="N66" i="2"/>
  <c r="N106" i="2"/>
  <c r="L10" i="2"/>
  <c r="M36" i="2"/>
  <c r="K39" i="2" a="1"/>
  <c r="K39" i="2" s="1"/>
  <c r="I69" i="2"/>
  <c r="M120" i="2"/>
  <c r="K120" i="2"/>
  <c r="N137" i="2"/>
  <c r="M137" i="2"/>
  <c r="L137" i="2"/>
  <c r="I137" i="2"/>
  <c r="M16" i="2"/>
  <c r="L24" i="2"/>
  <c r="M29" i="2"/>
  <c r="L31" i="2"/>
  <c r="L39" i="2"/>
  <c r="L56" i="2"/>
  <c r="K77" i="2"/>
  <c r="M85" i="2"/>
  <c r="I85" i="2"/>
  <c r="I120" i="2"/>
  <c r="N120" i="2"/>
  <c r="N131" i="2"/>
  <c r="I42" i="2"/>
  <c r="L45" i="2"/>
  <c r="K53" i="2"/>
  <c r="L64" i="2"/>
  <c r="M80" i="2"/>
  <c r="L27" i="2"/>
  <c r="I27" i="2"/>
  <c r="L69" i="2"/>
  <c r="M8" i="2"/>
  <c r="L11" i="2"/>
  <c r="M22" i="2"/>
  <c r="L26" i="2"/>
  <c r="N45" i="2"/>
  <c r="M53" i="2"/>
  <c r="I56" i="2"/>
  <c r="M69" i="2"/>
  <c r="M72" i="2"/>
  <c r="M94" i="2"/>
  <c r="L96" i="2"/>
  <c r="M104" i="2"/>
  <c r="N113" i="2"/>
  <c r="M113" i="2"/>
  <c r="L113" i="2"/>
  <c r="N129" i="2"/>
  <c r="M129" i="2"/>
  <c r="M132" i="2"/>
  <c r="N138" i="2"/>
  <c r="I138" i="2"/>
  <c r="I37" i="2"/>
  <c r="K56" i="2"/>
  <c r="N72" i="2"/>
  <c r="M75" i="2"/>
  <c r="N94" i="2"/>
  <c r="M96" i="2"/>
  <c r="N107" i="2"/>
  <c r="I115" i="2"/>
  <c r="I132" i="2"/>
  <c r="N132" i="2"/>
  <c r="L132" i="2"/>
  <c r="J12" i="1"/>
  <c r="M24" i="2"/>
  <c r="K64" i="2"/>
  <c r="N75" i="2"/>
  <c r="M115" i="2"/>
  <c r="N161" i="2"/>
  <c r="M181" i="2"/>
  <c r="N195" i="2"/>
  <c r="O35" i="3"/>
  <c r="M5" i="7"/>
  <c r="S5" i="3" s="1"/>
  <c r="M147" i="2"/>
  <c r="N160" i="2"/>
  <c r="M167" i="2"/>
  <c r="G24" i="7"/>
  <c r="I24" i="3" s="1"/>
  <c r="D27" i="7"/>
  <c r="M27" i="7" s="1"/>
  <c r="M162" i="2"/>
  <c r="I181" i="2"/>
  <c r="N184" i="2"/>
  <c r="L188" i="2"/>
  <c r="N167" i="2"/>
  <c r="M172" i="2"/>
  <c r="M186" i="2"/>
  <c r="N188" i="2"/>
  <c r="M191" i="2"/>
  <c r="G33" i="7"/>
  <c r="N33" i="7" s="1"/>
  <c r="U33" i="3" s="1"/>
  <c r="N142" i="2"/>
  <c r="I145" i="2"/>
  <c r="M155" i="2"/>
  <c r="L160" i="2"/>
  <c r="I162" i="2"/>
  <c r="N165" i="2"/>
  <c r="L174" i="2"/>
  <c r="M179" i="2"/>
  <c r="K181" i="2"/>
  <c r="L193" i="2"/>
  <c r="M10" i="3"/>
  <c r="M13" i="3"/>
  <c r="O30" i="3"/>
  <c r="D9" i="7"/>
  <c r="M9" i="7" s="1"/>
  <c r="S9" i="3" s="1"/>
  <c r="M134" i="2"/>
  <c r="M160" i="2"/>
  <c r="M22" i="3"/>
  <c r="N150" i="2"/>
  <c r="N163" i="2"/>
  <c r="I165" i="2"/>
  <c r="N168" i="2"/>
  <c r="L172" i="2"/>
  <c r="N182" i="2"/>
  <c r="M184" i="2"/>
  <c r="N189" i="2"/>
  <c r="M5" i="3"/>
  <c r="O13" i="3"/>
  <c r="D31" i="7"/>
  <c r="M31" i="7" s="1"/>
  <c r="S31" i="3" s="1"/>
  <c r="T31" i="3" s="1"/>
  <c r="L145" i="2"/>
  <c r="I153" i="2"/>
  <c r="G16" i="7"/>
  <c r="I16" i="3" s="1"/>
  <c r="L40" i="2"/>
  <c r="N55" i="2"/>
  <c r="N68" i="2"/>
  <c r="M73" i="2"/>
  <c r="M78" i="2"/>
  <c r="M83" i="2"/>
  <c r="L8" i="2"/>
  <c r="M15" i="2"/>
  <c r="M25" i="2"/>
  <c r="N50" i="2"/>
  <c r="N91" i="2"/>
  <c r="N101" i="2"/>
  <c r="M13" i="2"/>
  <c r="M35" i="2"/>
  <c r="I40" i="2"/>
  <c r="N63" i="2"/>
  <c r="I73" i="2"/>
  <c r="I78" i="2"/>
  <c r="I83" i="2"/>
  <c r="N103" i="2"/>
  <c r="M111" i="2"/>
  <c r="N126" i="2"/>
  <c r="I128" i="2"/>
  <c r="M140" i="2"/>
  <c r="M145" i="2"/>
  <c r="L148" i="2"/>
  <c r="M156" i="2"/>
  <c r="K165" i="2"/>
  <c r="L177" i="2"/>
  <c r="N192" i="2"/>
  <c r="L196" i="2"/>
  <c r="M199" i="2"/>
  <c r="D7" i="7"/>
  <c r="M7" i="7" s="1"/>
  <c r="N135" i="2"/>
  <c r="N148" i="2"/>
  <c r="N158" i="2"/>
  <c r="L168" i="2"/>
  <c r="I170" i="2"/>
  <c r="N175" i="2"/>
  <c r="O28" i="3"/>
  <c r="M31" i="3"/>
  <c r="O37" i="3"/>
  <c r="L153" i="2"/>
  <c r="K156" i="2"/>
  <c r="L163" i="2"/>
  <c r="N166" i="2"/>
  <c r="M168" i="2"/>
  <c r="N173" i="2"/>
  <c r="L182" i="2"/>
  <c r="M187" i="2"/>
  <c r="K189" i="2"/>
  <c r="M197" i="2"/>
  <c r="N199" i="2"/>
  <c r="O34" i="3"/>
  <c r="N151" i="2"/>
  <c r="M153" i="2"/>
  <c r="N170" i="2"/>
  <c r="I185" i="2"/>
  <c r="L192" i="2"/>
  <c r="I194" i="2"/>
  <c r="M146" i="2"/>
  <c r="N149" i="2"/>
  <c r="N156" i="2"/>
  <c r="M159" i="2"/>
  <c r="K161" i="2"/>
  <c r="I173" i="2"/>
  <c r="N176" i="2"/>
  <c r="L180" i="2"/>
  <c r="M192" i="2"/>
  <c r="O14" i="3"/>
  <c r="M26" i="3"/>
  <c r="M41" i="3"/>
  <c r="N180" i="2"/>
  <c r="N194" i="2"/>
  <c r="I197" i="2"/>
  <c r="N200" i="2"/>
  <c r="G9" i="7"/>
  <c r="N9" i="7" s="1"/>
  <c r="U9" i="3" s="1"/>
  <c r="G21" i="7"/>
  <c r="I21" i="3" s="1"/>
  <c r="M29" i="3"/>
  <c r="M38" i="3"/>
  <c r="I141" i="2"/>
  <c r="L144" i="2"/>
  <c r="I146" i="2"/>
  <c r="I149" i="2"/>
  <c r="N152" i="2"/>
  <c r="N154" i="2"/>
  <c r="M157" i="2"/>
  <c r="N159" i="2"/>
  <c r="L166" i="2"/>
  <c r="M171" i="2"/>
  <c r="K173" i="2"/>
  <c r="O6" i="3"/>
  <c r="M12" i="3"/>
  <c r="L12" i="2"/>
  <c r="L15" i="2"/>
  <c r="N46" i="2"/>
  <c r="L51" i="2"/>
  <c r="N54" i="2"/>
  <c r="L59" i="2"/>
  <c r="N62" i="2"/>
  <c r="L67" i="2"/>
  <c r="N70" i="2"/>
  <c r="L75" i="2"/>
  <c r="N78" i="2"/>
  <c r="L80" i="2"/>
  <c r="L87" i="2"/>
  <c r="M92" i="2"/>
  <c r="L99" i="2"/>
  <c r="N104" i="2"/>
  <c r="N123" i="2"/>
  <c r="M122" i="2"/>
  <c r="L122" i="2"/>
  <c r="L33" i="2"/>
  <c r="N51" i="2"/>
  <c r="N59" i="2"/>
  <c r="N67" i="2"/>
  <c r="N80" i="2"/>
  <c r="N87" i="2"/>
  <c r="N117" i="2"/>
  <c r="L120" i="2"/>
  <c r="M125" i="2"/>
  <c r="I50" i="2"/>
  <c r="I58" i="2"/>
  <c r="I66" i="2"/>
  <c r="I74" i="2"/>
  <c r="I91" i="2"/>
  <c r="M98" i="2"/>
  <c r="L98" i="2"/>
  <c r="I103" i="2"/>
  <c r="I110" i="2"/>
  <c r="I122" i="2"/>
  <c r="I136" i="2"/>
  <c r="N17" i="7"/>
  <c r="U17" i="3" s="1"/>
  <c r="I17" i="3"/>
  <c r="H17" i="7"/>
  <c r="L103" i="2"/>
  <c r="N25" i="7"/>
  <c r="O25" i="7" s="1"/>
  <c r="V25" i="3" s="1"/>
  <c r="H25" i="7"/>
  <c r="I25" i="3"/>
  <c r="I55" i="2"/>
  <c r="I63" i="2"/>
  <c r="I79" i="2"/>
  <c r="L84" i="2"/>
  <c r="I86" i="2"/>
  <c r="I98" i="2"/>
  <c r="M103" i="2"/>
  <c r="I112" i="2"/>
  <c r="I131" i="2"/>
  <c r="I19" i="2"/>
  <c r="I9" i="2"/>
  <c r="I47" i="2"/>
  <c r="I12" i="2"/>
  <c r="I28" i="2"/>
  <c r="I44" i="2"/>
  <c r="L50" i="2"/>
  <c r="L58" i="2"/>
  <c r="L66" i="2"/>
  <c r="L74" i="2"/>
  <c r="L79" i="2"/>
  <c r="M84" i="2"/>
  <c r="L91" i="2"/>
  <c r="I93" i="2"/>
  <c r="L110" i="2"/>
  <c r="N122" i="2"/>
  <c r="N133" i="2"/>
  <c r="L136" i="2"/>
  <c r="H13" i="7"/>
  <c r="G40" i="7"/>
  <c r="I37" i="3"/>
  <c r="H37" i="7"/>
  <c r="I35" i="2"/>
  <c r="I41" i="2"/>
  <c r="I15" i="2"/>
  <c r="L16" i="2"/>
  <c r="I31" i="2"/>
  <c r="L32" i="2"/>
  <c r="M50" i="2"/>
  <c r="I52" i="2"/>
  <c r="M58" i="2"/>
  <c r="I60" i="2"/>
  <c r="M66" i="2"/>
  <c r="I68" i="2"/>
  <c r="M74" i="2"/>
  <c r="M79" i="2"/>
  <c r="N84" i="2"/>
  <c r="M91" i="2"/>
  <c r="M110" i="2"/>
  <c r="M114" i="2"/>
  <c r="L114" i="2"/>
  <c r="L117" i="2"/>
  <c r="L124" i="2"/>
  <c r="M136" i="2"/>
  <c r="G28" i="7"/>
  <c r="H28" i="7" s="1"/>
  <c r="I6" i="2"/>
  <c r="L3" i="2"/>
  <c r="I18" i="2"/>
  <c r="L19" i="2"/>
  <c r="L35" i="2"/>
  <c r="L47" i="2"/>
  <c r="L55" i="2"/>
  <c r="L63" i="2"/>
  <c r="L71" i="2"/>
  <c r="L86" i="2"/>
  <c r="N98" i="2"/>
  <c r="K100" i="2"/>
  <c r="L112" i="2"/>
  <c r="M117" i="2"/>
  <c r="L119" i="2"/>
  <c r="M124" i="2"/>
  <c r="L131" i="2"/>
  <c r="L6" i="2"/>
  <c r="L22" i="2"/>
  <c r="L38" i="2"/>
  <c r="M47" i="2"/>
  <c r="M55" i="2"/>
  <c r="M63" i="2"/>
  <c r="M71" i="2"/>
  <c r="K76" i="2"/>
  <c r="M86" i="2"/>
  <c r="K88" i="2"/>
  <c r="M90" i="2"/>
  <c r="L90" i="2"/>
  <c r="L93" i="2"/>
  <c r="L100" i="2"/>
  <c r="K107" i="2"/>
  <c r="M112" i="2"/>
  <c r="M119" i="2"/>
  <c r="N124" i="2"/>
  <c r="K126" i="2"/>
  <c r="M131" i="2"/>
  <c r="L25" i="2"/>
  <c r="L41" i="2"/>
  <c r="L52" i="2"/>
  <c r="L60" i="2"/>
  <c r="L68" i="2"/>
  <c r="L76" i="2"/>
  <c r="N85" i="2"/>
  <c r="L88" i="2"/>
  <c r="M93" i="2"/>
  <c r="M100" i="2"/>
  <c r="L107" i="2"/>
  <c r="I109" i="2"/>
  <c r="N119" i="2"/>
  <c r="L126" i="2"/>
  <c r="L44" i="2"/>
  <c r="M52" i="2"/>
  <c r="M60" i="2"/>
  <c r="M68" i="2"/>
  <c r="M76" i="2"/>
  <c r="M88" i="2"/>
  <c r="I104" i="2"/>
  <c r="M107" i="2"/>
  <c r="I123" i="2"/>
  <c r="M126" i="2"/>
  <c r="M130" i="2"/>
  <c r="L130" i="2"/>
  <c r="I135" i="2"/>
  <c r="M28" i="2"/>
  <c r="L135" i="2"/>
  <c r="G32" i="7"/>
  <c r="H32" i="7" s="1"/>
  <c r="L18" i="2"/>
  <c r="M31" i="2"/>
  <c r="L34" i="2"/>
  <c r="M49" i="2"/>
  <c r="M57" i="2"/>
  <c r="M102" i="2"/>
  <c r="M106" i="2"/>
  <c r="L106" i="2"/>
  <c r="L109" i="2"/>
  <c r="I111" i="2"/>
  <c r="L116" i="2"/>
  <c r="M128" i="2"/>
  <c r="I130" i="2"/>
  <c r="M135" i="2"/>
  <c r="G20" i="7"/>
  <c r="H20" i="7" s="1"/>
  <c r="I25" i="2"/>
  <c r="L21" i="2"/>
  <c r="L37" i="2"/>
  <c r="L46" i="2"/>
  <c r="L54" i="2"/>
  <c r="L62" i="2"/>
  <c r="L70" i="2"/>
  <c r="L78" i="2"/>
  <c r="N90" i="2"/>
  <c r="L104" i="2"/>
  <c r="M109" i="2"/>
  <c r="L111" i="2"/>
  <c r="M116" i="2"/>
  <c r="L123" i="2"/>
  <c r="I125" i="2"/>
  <c r="G8" i="7"/>
  <c r="M82" i="2"/>
  <c r="L82" i="2"/>
  <c r="L85" i="2"/>
  <c r="L92" i="2"/>
  <c r="I106" i="2"/>
  <c r="N116" i="2"/>
  <c r="I5" i="3"/>
  <c r="H5" i="7"/>
  <c r="N29" i="7"/>
  <c r="O29" i="7" s="1"/>
  <c r="V29" i="3" s="1"/>
  <c r="H29" i="7"/>
  <c r="I147" i="2"/>
  <c r="I155" i="2"/>
  <c r="I163" i="2"/>
  <c r="K166" i="2"/>
  <c r="I171" i="2"/>
  <c r="K174" i="2"/>
  <c r="I179" i="2"/>
  <c r="K182" i="2"/>
  <c r="I187" i="2"/>
  <c r="K190" i="2"/>
  <c r="I195" i="2"/>
  <c r="K198" i="2"/>
  <c r="O7" i="3"/>
  <c r="M17" i="3"/>
  <c r="O23" i="3"/>
  <c r="M33" i="3"/>
  <c r="O39" i="3"/>
  <c r="G3" i="7"/>
  <c r="G7" i="7"/>
  <c r="I7" i="3" s="1"/>
  <c r="G11" i="7"/>
  <c r="G15" i="7"/>
  <c r="G19" i="7"/>
  <c r="G23" i="7"/>
  <c r="G27" i="7"/>
  <c r="I27" i="3" s="1"/>
  <c r="G31" i="7"/>
  <c r="G35" i="7"/>
  <c r="G39" i="7"/>
  <c r="H39" i="7" s="1"/>
  <c r="L142" i="2"/>
  <c r="L150" i="2"/>
  <c r="L158" i="2"/>
  <c r="M142" i="2"/>
  <c r="I144" i="2"/>
  <c r="K147" i="2"/>
  <c r="M150" i="2"/>
  <c r="I152" i="2"/>
  <c r="K155" i="2"/>
  <c r="M158" i="2"/>
  <c r="I160" i="2"/>
  <c r="K163" i="2"/>
  <c r="M166" i="2"/>
  <c r="I168" i="2"/>
  <c r="K171" i="2"/>
  <c r="M174" i="2"/>
  <c r="I176" i="2"/>
  <c r="K179" i="2"/>
  <c r="M182" i="2"/>
  <c r="I184" i="2"/>
  <c r="K187" i="2"/>
  <c r="M190" i="2"/>
  <c r="I192" i="2"/>
  <c r="K195" i="2"/>
  <c r="M198" i="2"/>
  <c r="I200" i="2"/>
  <c r="M11" i="3"/>
  <c r="O17" i="3"/>
  <c r="M27" i="3"/>
  <c r="O33" i="3"/>
  <c r="D2" i="7"/>
  <c r="M2" i="7" s="1"/>
  <c r="D6" i="7"/>
  <c r="M6" i="7" s="1"/>
  <c r="S6" i="3" s="1"/>
  <c r="D10" i="7"/>
  <c r="M10" i="7" s="1"/>
  <c r="S10" i="3" s="1"/>
  <c r="D14" i="7"/>
  <c r="M14" i="7" s="1"/>
  <c r="S14" i="3" s="1"/>
  <c r="D18" i="7"/>
  <c r="M18" i="7" s="1"/>
  <c r="D22" i="7"/>
  <c r="M22" i="7" s="1"/>
  <c r="D26" i="7"/>
  <c r="M26" i="7" s="1"/>
  <c r="D30" i="7"/>
  <c r="M30" i="7" s="1"/>
  <c r="D34" i="7"/>
  <c r="M34" i="7" s="1"/>
  <c r="D38" i="7"/>
  <c r="M38" i="7" s="1"/>
  <c r="L139" i="2"/>
  <c r="L147" i="2"/>
  <c r="L155" i="2"/>
  <c r="L171" i="2"/>
  <c r="L179" i="2"/>
  <c r="L187" i="2"/>
  <c r="L195" i="2"/>
  <c r="O38" i="3"/>
  <c r="M139" i="2"/>
  <c r="O11" i="3"/>
  <c r="M21" i="3"/>
  <c r="O27" i="3"/>
  <c r="M37" i="3"/>
  <c r="G2" i="7"/>
  <c r="G6" i="7"/>
  <c r="G10" i="7"/>
  <c r="G14" i="7"/>
  <c r="I14" i="3" s="1"/>
  <c r="G18" i="7"/>
  <c r="G22" i="7"/>
  <c r="G26" i="7"/>
  <c r="I26" i="3" s="1"/>
  <c r="G30" i="7"/>
  <c r="G34" i="7"/>
  <c r="G38" i="7"/>
  <c r="I38" i="3" s="1"/>
  <c r="M3" i="7"/>
  <c r="M11" i="7"/>
  <c r="S11" i="3" s="1"/>
  <c r="M15" i="7"/>
  <c r="S15" i="3" s="1"/>
  <c r="T15" i="3" s="1"/>
  <c r="M19" i="7"/>
  <c r="S19" i="3" s="1"/>
  <c r="T19" i="3" s="1"/>
  <c r="M23" i="7"/>
  <c r="M35" i="7"/>
  <c r="M39" i="7"/>
  <c r="K141" i="2"/>
  <c r="D41" i="7"/>
  <c r="M41" i="7" s="1"/>
  <c r="S41" i="3" s="1"/>
  <c r="L141" i="2"/>
  <c r="L149" i="2"/>
  <c r="L157" i="2"/>
  <c r="L165" i="2"/>
  <c r="L173" i="2"/>
  <c r="L181" i="2"/>
  <c r="L189" i="2"/>
  <c r="L197" i="2"/>
  <c r="M4" i="3"/>
  <c r="O10" i="3"/>
  <c r="I13" i="3"/>
  <c r="M20" i="3"/>
  <c r="O26" i="3"/>
  <c r="I29" i="3"/>
  <c r="M36" i="3"/>
  <c r="I143" i="2"/>
  <c r="K146" i="2"/>
  <c r="I151" i="2"/>
  <c r="K154" i="2"/>
  <c r="I159" i="2"/>
  <c r="K162" i="2"/>
  <c r="I167" i="2"/>
  <c r="I175" i="2"/>
  <c r="I183" i="2"/>
  <c r="I191" i="2"/>
  <c r="I199" i="2"/>
  <c r="G41" i="7"/>
  <c r="H41" i="7" s="1"/>
  <c r="L138" i="2"/>
  <c r="L146" i="2"/>
  <c r="L154" i="2"/>
  <c r="L162" i="2"/>
  <c r="L170" i="2"/>
  <c r="L178" i="2"/>
  <c r="L186" i="2"/>
  <c r="L194" i="2"/>
  <c r="O4" i="3"/>
  <c r="M14" i="3"/>
  <c r="O20" i="3"/>
  <c r="I23" i="3"/>
  <c r="M30" i="3"/>
  <c r="O36" i="3"/>
  <c r="M138" i="2"/>
  <c r="I140" i="2"/>
  <c r="I148" i="2"/>
  <c r="I156" i="2"/>
  <c r="I164" i="2"/>
  <c r="I172" i="2"/>
  <c r="I180" i="2"/>
  <c r="I188" i="2"/>
  <c r="I196" i="2"/>
  <c r="O9" i="3"/>
  <c r="M19" i="3"/>
  <c r="O25" i="3"/>
  <c r="I28" i="3"/>
  <c r="M35" i="3"/>
  <c r="O41" i="3"/>
  <c r="D4" i="7"/>
  <c r="M4" i="7" s="1"/>
  <c r="S4" i="3" s="1"/>
  <c r="D8" i="7"/>
  <c r="M8" i="7" s="1"/>
  <c r="S8" i="3" s="1"/>
  <c r="D12" i="7"/>
  <c r="M12" i="7" s="1"/>
  <c r="S12" i="3" s="1"/>
  <c r="D16" i="7"/>
  <c r="M16" i="7" s="1"/>
  <c r="S16" i="3" s="1"/>
  <c r="D20" i="7"/>
  <c r="M20" i="7" s="1"/>
  <c r="S20" i="3" s="1"/>
  <c r="D24" i="7"/>
  <c r="M24" i="7" s="1"/>
  <c r="S24" i="3" s="1"/>
  <c r="D28" i="7"/>
  <c r="M28" i="7" s="1"/>
  <c r="S28" i="3" s="1"/>
  <c r="D32" i="7"/>
  <c r="M32" i="7" s="1"/>
  <c r="D36" i="7"/>
  <c r="M36" i="7" s="1"/>
  <c r="S36" i="3" s="1"/>
  <c r="D40" i="7"/>
  <c r="M40" i="7" s="1"/>
  <c r="L143" i="2"/>
  <c r="L151" i="2"/>
  <c r="L159" i="2"/>
  <c r="L167" i="2"/>
  <c r="L175" i="2"/>
  <c r="L183" i="2"/>
  <c r="L191" i="2"/>
  <c r="L199" i="2"/>
  <c r="M40" i="3"/>
  <c r="K140" i="2"/>
  <c r="M143" i="2"/>
  <c r="G4" i="7"/>
  <c r="L140" i="2"/>
  <c r="M18" i="3"/>
  <c r="O24" i="3"/>
  <c r="M34" i="3"/>
  <c r="O40" i="3"/>
  <c r="M196" i="2"/>
  <c r="M23" i="3"/>
  <c r="O29" i="3"/>
  <c r="M39" i="3"/>
  <c r="U25" i="3" l="1"/>
  <c r="H21" i="7"/>
  <c r="I9" i="3"/>
  <c r="H9" i="7"/>
  <c r="U29" i="3"/>
  <c r="N37" i="7"/>
  <c r="S13" i="3"/>
  <c r="N13" i="7"/>
  <c r="U13" i="3" s="1"/>
  <c r="S7" i="3"/>
  <c r="T9" i="3"/>
  <c r="T25" i="3"/>
  <c r="S22" i="3"/>
  <c r="T22" i="3" s="1"/>
  <c r="T14" i="3"/>
  <c r="H33" i="7"/>
  <c r="S38" i="3"/>
  <c r="T38" i="3" s="1"/>
  <c r="S30" i="3"/>
  <c r="T30" i="3" s="1"/>
  <c r="I33" i="3"/>
  <c r="S18" i="3"/>
  <c r="T18" i="3" s="1"/>
  <c r="T6" i="3"/>
  <c r="S34" i="3"/>
  <c r="T34" i="3" s="1"/>
  <c r="S23" i="3"/>
  <c r="T23" i="3" s="1"/>
  <c r="S26" i="3"/>
  <c r="T26" i="3" s="1"/>
  <c r="S32" i="3"/>
  <c r="T32" i="3" s="1"/>
  <c r="H16" i="7"/>
  <c r="S39" i="3"/>
  <c r="T39" i="3" s="1"/>
  <c r="T11" i="3"/>
  <c r="S3" i="3"/>
  <c r="T3" i="3" s="1"/>
  <c r="S27" i="3"/>
  <c r="T27" i="3" s="1"/>
  <c r="T8" i="3"/>
  <c r="T21" i="3"/>
  <c r="T41" i="3"/>
  <c r="S35" i="3"/>
  <c r="T35" i="3" s="1"/>
  <c r="S2" i="3"/>
  <c r="T2" i="3" s="1"/>
  <c r="I12" i="3"/>
  <c r="I20" i="3"/>
  <c r="T5" i="3"/>
  <c r="T37" i="3"/>
  <c r="S40" i="3"/>
  <c r="T40" i="3" s="1"/>
  <c r="L5" i="2"/>
  <c r="A4" i="1" s="1"/>
  <c r="I39" i="3"/>
  <c r="N21" i="7"/>
  <c r="U21" i="3" s="1"/>
  <c r="H24" i="7"/>
  <c r="I36" i="3"/>
  <c r="I41" i="3"/>
  <c r="N39" i="7"/>
  <c r="N5" i="7"/>
  <c r="U5" i="3" s="1"/>
  <c r="T28" i="3"/>
  <c r="N28" i="7"/>
  <c r="U28" i="3" s="1"/>
  <c r="T20" i="3"/>
  <c r="N20" i="7"/>
  <c r="U20" i="3" s="1"/>
  <c r="T4" i="3"/>
  <c r="N4" i="7"/>
  <c r="U4" i="3" s="1"/>
  <c r="T36" i="3"/>
  <c r="N36" i="7"/>
  <c r="U36" i="3" s="1"/>
  <c r="T24" i="3"/>
  <c r="N24" i="7"/>
  <c r="U24" i="3" s="1"/>
  <c r="T12" i="3"/>
  <c r="N12" i="7"/>
  <c r="U12" i="3" s="1"/>
  <c r="N16" i="7"/>
  <c r="U16" i="3" s="1"/>
  <c r="T16" i="3"/>
  <c r="N30" i="7"/>
  <c r="U30" i="3" s="1"/>
  <c r="H30" i="7"/>
  <c r="O9" i="7"/>
  <c r="V9" i="3" s="1"/>
  <c r="N18" i="7"/>
  <c r="U18" i="3" s="1"/>
  <c r="I18" i="3"/>
  <c r="H18" i="7"/>
  <c r="N32" i="7"/>
  <c r="U32" i="3" s="1"/>
  <c r="N14" i="7"/>
  <c r="U14" i="3" s="1"/>
  <c r="H14" i="7"/>
  <c r="N10" i="7"/>
  <c r="U10" i="3" s="1"/>
  <c r="H10" i="7"/>
  <c r="N41" i="7"/>
  <c r="U41" i="3" s="1"/>
  <c r="I32" i="3"/>
  <c r="I6" i="3"/>
  <c r="N6" i="7"/>
  <c r="U6" i="3" s="1"/>
  <c r="H6" i="7"/>
  <c r="I22" i="3"/>
  <c r="N22" i="7"/>
  <c r="U22" i="3" s="1"/>
  <c r="H22" i="7"/>
  <c r="N2" i="7"/>
  <c r="U2" i="3" s="1"/>
  <c r="I2" i="3"/>
  <c r="H2" i="7"/>
  <c r="N31" i="7"/>
  <c r="U31" i="3" s="1"/>
  <c r="H31" i="7"/>
  <c r="I31" i="3"/>
  <c r="O33" i="7"/>
  <c r="V33" i="3" s="1"/>
  <c r="N27" i="7"/>
  <c r="U27" i="3" s="1"/>
  <c r="H27" i="7"/>
  <c r="H40" i="7"/>
  <c r="I40" i="3"/>
  <c r="N35" i="7"/>
  <c r="U35" i="3" s="1"/>
  <c r="I35" i="3"/>
  <c r="H35" i="7"/>
  <c r="N23" i="7"/>
  <c r="U23" i="3" s="1"/>
  <c r="H23" i="7"/>
  <c r="H8" i="7"/>
  <c r="I8" i="3"/>
  <c r="O17" i="7"/>
  <c r="V17" i="3" s="1"/>
  <c r="N19" i="7"/>
  <c r="U19" i="3" s="1"/>
  <c r="I19" i="3"/>
  <c r="H19" i="7"/>
  <c r="I10" i="3"/>
  <c r="I30" i="3"/>
  <c r="N15" i="7"/>
  <c r="U15" i="3" s="1"/>
  <c r="H15" i="7"/>
  <c r="I15" i="3"/>
  <c r="M34" i="2"/>
  <c r="N26" i="7"/>
  <c r="U26" i="3" s="1"/>
  <c r="H26" i="7"/>
  <c r="H4" i="7"/>
  <c r="I4" i="3"/>
  <c r="I11" i="3"/>
  <c r="N11" i="7"/>
  <c r="U11" i="3" s="1"/>
  <c r="H11" i="7"/>
  <c r="N38" i="7"/>
  <c r="U38" i="3" s="1"/>
  <c r="H38" i="7"/>
  <c r="N7" i="7"/>
  <c r="U7" i="3" s="1"/>
  <c r="H7" i="7"/>
  <c r="N34" i="7"/>
  <c r="U34" i="3" s="1"/>
  <c r="I34" i="3"/>
  <c r="H34" i="7"/>
  <c r="N40" i="7"/>
  <c r="U40" i="3" s="1"/>
  <c r="N8" i="7"/>
  <c r="U8" i="3" s="1"/>
  <c r="N3" i="7"/>
  <c r="U3" i="3" s="1"/>
  <c r="I3" i="3"/>
  <c r="H3" i="7"/>
  <c r="T7" i="3" l="1"/>
  <c r="O39" i="7"/>
  <c r="V39" i="3" s="1"/>
  <c r="U39" i="3"/>
  <c r="O37" i="7"/>
  <c r="V37" i="3" s="1"/>
  <c r="U37" i="3"/>
  <c r="L9" i="2"/>
  <c r="B7" i="1" s="1" a="1"/>
  <c r="B7" i="1" s="1"/>
  <c r="B4" i="1" a="1"/>
  <c r="B4" i="1" s="1"/>
  <c r="O21" i="7"/>
  <c r="V21" i="3" s="1"/>
  <c r="O13" i="7"/>
  <c r="V13" i="3" s="1"/>
  <c r="O5" i="7"/>
  <c r="V5" i="3" s="1"/>
  <c r="O20" i="7"/>
  <c r="V20" i="3" s="1"/>
  <c r="O28" i="7"/>
  <c r="V28" i="3" s="1"/>
  <c r="O30" i="7"/>
  <c r="V30" i="3" s="1"/>
  <c r="O41" i="7"/>
  <c r="V41" i="3" s="1"/>
  <c r="O31" i="7"/>
  <c r="V31" i="3" s="1"/>
  <c r="A12" i="1" a="1"/>
  <c r="A12" i="1" s="1"/>
  <c r="O40" i="7"/>
  <c r="V40" i="3" s="1"/>
  <c r="M41" i="2"/>
  <c r="A13" i="1" s="1" a="1"/>
  <c r="A13" i="1" s="1"/>
  <c r="O26" i="7"/>
  <c r="V26" i="3" s="1"/>
  <c r="O3" i="7"/>
  <c r="V3" i="3" s="1"/>
  <c r="O15" i="7"/>
  <c r="V15" i="3" s="1"/>
  <c r="O16" i="7"/>
  <c r="V16" i="3" s="1"/>
  <c r="O12" i="7"/>
  <c r="V12" i="3" s="1"/>
  <c r="A5" i="1" a="1"/>
  <c r="A5" i="1" s="1"/>
  <c r="O8" i="7"/>
  <c r="V8" i="3" s="1"/>
  <c r="O34" i="7"/>
  <c r="V34" i="3" s="1"/>
  <c r="O38" i="7"/>
  <c r="V38" i="3" s="1"/>
  <c r="B5" i="1" a="1"/>
  <c r="B5" i="1" s="1"/>
  <c r="O6" i="7"/>
  <c r="V6" i="3" s="1"/>
  <c r="B12" i="1" a="1"/>
  <c r="B12" i="1" s="1"/>
  <c r="O10" i="7"/>
  <c r="V10" i="3" s="1"/>
  <c r="O2" i="7"/>
  <c r="V2" i="3" s="1"/>
  <c r="O35" i="7"/>
  <c r="V35" i="3" s="1"/>
  <c r="O22" i="7"/>
  <c r="V22" i="3" s="1"/>
  <c r="O24" i="7"/>
  <c r="V24" i="3" s="1"/>
  <c r="O27" i="7"/>
  <c r="V27" i="3" s="1"/>
  <c r="O23" i="7"/>
  <c r="V23" i="3" s="1"/>
  <c r="O7" i="7"/>
  <c r="V7" i="3" s="1"/>
  <c r="O14" i="7"/>
  <c r="V14" i="3" s="1"/>
  <c r="A7" i="1" a="1"/>
  <c r="A7" i="1" s="1"/>
  <c r="O18" i="7"/>
  <c r="V18" i="3" s="1"/>
  <c r="O11" i="7"/>
  <c r="V11" i="3" s="1"/>
  <c r="O32" i="7"/>
  <c r="V32" i="3" s="1"/>
  <c r="O36" i="7"/>
  <c r="V36" i="3" s="1"/>
  <c r="O4" i="7"/>
  <c r="V4" i="3" s="1"/>
  <c r="O19" i="7"/>
  <c r="V19" i="3" s="1"/>
  <c r="B6" i="1" l="1" a="1"/>
  <c r="B6" i="1" s="1"/>
  <c r="A6" i="1" a="1"/>
  <c r="A6" i="1" s="1"/>
  <c r="A8" i="1" a="1"/>
  <c r="A8" i="1" s="1"/>
  <c r="B8" i="1" a="1"/>
  <c r="B8" i="1" s="1"/>
  <c r="B13" i="1" a="1"/>
  <c r="B13" i="1" s="1"/>
  <c r="A35" i="1"/>
  <c r="A22" i="1" a="1"/>
  <c r="A22" i="1" s="1"/>
  <c r="A30" i="1"/>
  <c r="A25" i="1" a="1"/>
  <c r="A25" i="1" s="1"/>
  <c r="A32" i="1"/>
  <c r="A29" i="1"/>
  <c r="A34" i="1"/>
  <c r="A21" i="1" a="1"/>
  <c r="A21" i="1" s="1"/>
  <c r="A24" i="1" a="1"/>
  <c r="A24" i="1" s="1"/>
  <c r="A27" i="1"/>
  <c r="A26" i="1"/>
  <c r="A28" i="1"/>
  <c r="A33" i="1"/>
  <c r="A23" i="1" a="1"/>
  <c r="A23" i="1" s="1"/>
  <c r="A31" i="1"/>
  <c r="M42" i="2"/>
  <c r="A18" i="1" s="1" a="1"/>
  <c r="A18" i="1" s="1"/>
  <c r="T10" i="3"/>
  <c r="T13" i="3"/>
  <c r="B16" i="1" l="1" a="1"/>
  <c r="B16" i="1" s="1"/>
  <c r="C34" i="1"/>
  <c r="B34" i="1"/>
  <c r="B32" i="1"/>
  <c r="C32" i="1"/>
  <c r="C35" i="1"/>
  <c r="B35" i="1"/>
  <c r="B14" i="1" a="1"/>
  <c r="B14" i="1" s="1"/>
  <c r="C21" i="1"/>
  <c r="B21" i="1" a="1"/>
  <c r="B21" i="1" s="1"/>
  <c r="B25" i="1" a="1"/>
  <c r="B25" i="1" s="1"/>
  <c r="C25" i="1"/>
  <c r="B17" i="1" a="1"/>
  <c r="B17" i="1" s="1"/>
  <c r="C26" i="1"/>
  <c r="B26" i="1"/>
  <c r="B15" i="1" a="1"/>
  <c r="B15" i="1" s="1"/>
  <c r="A14" i="1" a="1"/>
  <c r="A14" i="1" s="1"/>
  <c r="C30" i="1"/>
  <c r="B30" i="1"/>
  <c r="B23" i="1" a="1"/>
  <c r="B23" i="1" s="1"/>
  <c r="C23" i="1"/>
  <c r="A17" i="1" a="1"/>
  <c r="A17" i="1" s="1"/>
  <c r="B18" i="1" a="1"/>
  <c r="B18" i="1" s="1"/>
  <c r="A15" i="1" a="1"/>
  <c r="A15" i="1" s="1"/>
  <c r="C29" i="1"/>
  <c r="B29" i="1"/>
  <c r="C22" i="1"/>
  <c r="B22" i="1" a="1"/>
  <c r="B22" i="1" s="1"/>
  <c r="A16" i="1" a="1"/>
  <c r="A16" i="1" s="1"/>
  <c r="B31" i="1"/>
  <c r="C31" i="1"/>
  <c r="C33" i="1"/>
  <c r="B33" i="1"/>
  <c r="C28" i="1"/>
  <c r="B28" i="1"/>
  <c r="B27" i="1"/>
  <c r="C27" i="1"/>
  <c r="C24" i="1"/>
  <c r="B24" i="1" a="1"/>
  <c r="B24" i="1" s="1"/>
</calcChain>
</file>

<file path=xl/sharedStrings.xml><?xml version="1.0" encoding="utf-8"?>
<sst xmlns="http://schemas.openxmlformats.org/spreadsheetml/2006/main" count="860" uniqueCount="212">
  <si>
    <t>旅外就是神｜V1.3 Excel Final｜今日出賽球員</t>
  </si>
  <si>
    <t>投手</t>
  </si>
  <si>
    <t>台灣旅外戰力分布(含台裔)</t>
  </si>
  <si>
    <t>姓名</t>
  </si>
  <si>
    <t>今日成績</t>
  </si>
  <si>
    <t>MLB</t>
  </si>
  <si>
    <t>3A</t>
  </si>
  <si>
    <t>2A</t>
  </si>
  <si>
    <t>高A</t>
  </si>
  <si>
    <t>1A</t>
  </si>
  <si>
    <t>Rookie</t>
  </si>
  <si>
    <t>日職一軍</t>
  </si>
  <si>
    <t>野手</t>
  </si>
  <si>
    <t>日職二軍</t>
  </si>
  <si>
    <t>韓職</t>
  </si>
  <si>
    <t>合計</t>
  </si>
  <si>
    <t>球員異動狀態</t>
  </si>
  <si>
    <t>球員</t>
  </si>
  <si>
    <t>異動</t>
  </si>
  <si>
    <t>狀態</t>
  </si>
  <si>
    <t>旅外就是神｜今日戰報</t>
  </si>
  <si>
    <t>分類</t>
  </si>
  <si>
    <t>層級</t>
  </si>
  <si>
    <t>守位</t>
  </si>
  <si>
    <t>球隊</t>
  </si>
  <si>
    <t>是否先發/前次出賽</t>
  </si>
  <si>
    <t>對手</t>
  </si>
  <si>
    <t>排序欄1</t>
  </si>
  <si>
    <t>排序欄2</t>
  </si>
  <si>
    <t>排序欄3</t>
  </si>
  <si>
    <t>首頁投手序</t>
  </si>
  <si>
    <t>首頁野手序</t>
  </si>
  <si>
    <t>鄧愷威</t>
  </si>
  <si>
    <t>NO(4/21)</t>
  </si>
  <si>
    <t>林昱珉</t>
  </si>
  <si>
    <t>YES</t>
  </si>
  <si>
    <t>0.2IP，32P，5H，5R，2ER，2K，ERA 6.35，WHIP 2.12(L)</t>
  </si>
  <si>
    <t>林振瑋</t>
  </si>
  <si>
    <t>NO(4/18)</t>
  </si>
  <si>
    <t>莊陳仲敖</t>
  </si>
  <si>
    <t>林維恩</t>
  </si>
  <si>
    <t>NO(4/19)</t>
  </si>
  <si>
    <t>陳柏毓</t>
  </si>
  <si>
    <t>4.0IP，4H，2R，1ER，1HR，4K，2BB，73P,ERA 5.65，WHIP 1.47 (無關勝敗)</t>
  </si>
  <si>
    <t>劉致榮</t>
  </si>
  <si>
    <t>NO(38/60天)</t>
  </si>
  <si>
    <t>沙子宸</t>
  </si>
  <si>
    <t>NO(4/20)</t>
  </si>
  <si>
    <t>張弘稜</t>
  </si>
  <si>
    <t>5.0IP，75P，6H，5R，5ER，2HR，4K，3BB，ERA 10.66，WHIP 1.89 (W)</t>
  </si>
  <si>
    <t>沈家羲</t>
  </si>
  <si>
    <t>林盛恩</t>
  </si>
  <si>
    <t>黃仲翔</t>
  </si>
  <si>
    <t>潘文輝</t>
  </si>
  <si>
    <t>NO(4/23)</t>
  </si>
  <si>
    <t>李晨薰</t>
  </si>
  <si>
    <t>NO</t>
  </si>
  <si>
    <t>林張子俊</t>
  </si>
  <si>
    <t>林鉑濬</t>
  </si>
  <si>
    <t>陽念希</t>
  </si>
  <si>
    <t>蘇嵐鴻</t>
  </si>
  <si>
    <t>宋家豪</t>
  </si>
  <si>
    <t>古林睿煬</t>
  </si>
  <si>
    <t>孫易磊</t>
  </si>
  <si>
    <t>徐若熙</t>
  </si>
  <si>
    <t>徐翔聖</t>
  </si>
  <si>
    <t>張峻瑋</t>
  </si>
  <si>
    <t>陳睦衡</t>
  </si>
  <si>
    <t>黃錦豪</t>
  </si>
  <si>
    <t>蕭齊</t>
  </si>
  <si>
    <t>王彥程</t>
  </si>
  <si>
    <t>李灝宇</t>
  </si>
  <si>
    <t>NO(4/22)</t>
  </si>
  <si>
    <t>鄭宗哲</t>
  </si>
  <si>
    <t>5AB，1H，3K，AVG.262，OBP.395，SLG.508​</t>
  </si>
  <si>
    <t>柯敬賢</t>
  </si>
  <si>
    <t>3AB，0H，3K，1BB，AVG.346，OBP.469，SLG.654</t>
  </si>
  <si>
    <t>廖宥霖</t>
  </si>
  <si>
    <t>林安可</t>
  </si>
  <si>
    <t>林冠臣</t>
  </si>
  <si>
    <t>林家正</t>
  </si>
  <si>
    <t>陽柏翔</t>
  </si>
  <si>
    <t>Corbin Carroll</t>
  </si>
  <si>
    <t>4AB，0H，1K，AVG.296，OBP.396，SLG.580</t>
  </si>
  <si>
    <t>Jonathon Long</t>
  </si>
  <si>
    <t>4AB，0H，AVG.267，OBP.370，SLG.395</t>
  </si>
  <si>
    <t>Stuart Fairchild</t>
  </si>
  <si>
    <t>Tyler Wilson</t>
  </si>
  <si>
    <t>4AB，1H，1RBI，1BB，1SB,AVG.200，OBP.267，SLG長打率.250</t>
  </si>
  <si>
    <t>國家</t>
  </si>
  <si>
    <t>聯盟</t>
  </si>
  <si>
    <t>排序_分類</t>
  </si>
  <si>
    <t>排序_層級</t>
  </si>
  <si>
    <t>排序_姓名</t>
  </si>
  <si>
    <t>前次_層級</t>
  </si>
  <si>
    <t>狀態序</t>
  </si>
  <si>
    <t>前次狀態</t>
  </si>
  <si>
    <t>IL天數</t>
  </si>
  <si>
    <t>IL已過</t>
  </si>
  <si>
    <t>狀態顯示</t>
  </si>
  <si>
    <t>狀態異動</t>
  </si>
  <si>
    <t>狀態排序</t>
  </si>
  <si>
    <t>事件旗標</t>
  </si>
  <si>
    <t>事件序</t>
  </si>
  <si>
    <t>旅美</t>
  </si>
  <si>
    <t>美國</t>
  </si>
  <si>
    <t>底特律老虎</t>
  </si>
  <si>
    <t>現役</t>
  </si>
  <si>
    <t>休士頓太空人</t>
  </si>
  <si>
    <t>MiLB</t>
  </si>
  <si>
    <t>亞利桑那響尾蛇</t>
  </si>
  <si>
    <t>波士頓紅襪</t>
  </si>
  <si>
    <t>聖路易紅雀</t>
  </si>
  <si>
    <t>奧克蘭運動家</t>
  </si>
  <si>
    <t>匹茲堡海盜</t>
  </si>
  <si>
    <t>傷兵</t>
  </si>
  <si>
    <t>A+</t>
  </si>
  <si>
    <t>西雅圖水手</t>
  </si>
  <si>
    <t>辛辛那提紅人</t>
  </si>
  <si>
    <t>外野手</t>
  </si>
  <si>
    <t>洛杉磯道奇</t>
  </si>
  <si>
    <t>費城費城人</t>
  </si>
  <si>
    <t>舊金山巨人</t>
  </si>
  <si>
    <t>RK</t>
  </si>
  <si>
    <t>密爾瓦基釀酒人</t>
  </si>
  <si>
    <t>內野手</t>
  </si>
  <si>
    <t>聖地牙哥教士</t>
  </si>
  <si>
    <t>旅日</t>
  </si>
  <si>
    <t>日本</t>
  </si>
  <si>
    <t>NPB</t>
  </si>
  <si>
    <t>東北樂天金鷲</t>
  </si>
  <si>
    <t>埼玉西武獅</t>
  </si>
  <si>
    <t>北海道日本火腿鬥士</t>
  </si>
  <si>
    <t>捕手</t>
  </si>
  <si>
    <t>福岡軟銀鷹</t>
  </si>
  <si>
    <t>東京養樂多燕子</t>
  </si>
  <si>
    <t>歐力士猛牛</t>
  </si>
  <si>
    <t>讀賣巨人</t>
  </si>
  <si>
    <t>旅韓</t>
  </si>
  <si>
    <t>韓國</t>
  </si>
  <si>
    <t xml:space="preserve">KBO </t>
  </si>
  <si>
    <t>韓華鷹</t>
  </si>
  <si>
    <t>韓職一軍</t>
  </si>
  <si>
    <t>台裔</t>
  </si>
  <si>
    <t>亞歷桑納響尾蛇</t>
  </si>
  <si>
    <t>芝加哥小熊</t>
  </si>
  <si>
    <t>克里夫蘭守護者</t>
  </si>
  <si>
    <t>紐約洋基</t>
  </si>
  <si>
    <t>OPS</t>
  </si>
  <si>
    <t>OPS+</t>
  </si>
  <si>
    <t>AVG</t>
  </si>
  <si>
    <t>OBP</t>
  </si>
  <si>
    <t>SLG</t>
  </si>
  <si>
    <t>ISO</t>
  </si>
  <si>
    <t>BABIP</t>
  </si>
  <si>
    <t>BIP</t>
  </si>
  <si>
    <t>RC</t>
  </si>
  <si>
    <t>wOBA</t>
  </si>
  <si>
    <t>BB%</t>
  </si>
  <si>
    <t>BB/K</t>
  </si>
  <si>
    <t>K%</t>
  </si>
  <si>
    <t>Whiff%</t>
  </si>
  <si>
    <t>SB%</t>
  </si>
  <si>
    <t>打數</t>
  </si>
  <si>
    <t>得分</t>
  </si>
  <si>
    <t>安打</t>
  </si>
  <si>
    <t>二安</t>
  </si>
  <si>
    <t>三安</t>
  </si>
  <si>
    <t>全壘打</t>
  </si>
  <si>
    <t>打點</t>
  </si>
  <si>
    <t>四壞</t>
  </si>
  <si>
    <t>故四</t>
  </si>
  <si>
    <t>觸身</t>
  </si>
  <si>
    <t>三振</t>
  </si>
  <si>
    <t>犧觸</t>
  </si>
  <si>
    <t>犧飛</t>
  </si>
  <si>
    <t>雙殺</t>
  </si>
  <si>
    <t>盜壘</t>
  </si>
  <si>
    <t>盜刺</t>
  </si>
  <si>
    <t>打擊率</t>
  </si>
  <si>
    <t>出賽</t>
  </si>
  <si>
    <t>局數</t>
  </si>
  <si>
    <t>勝</t>
  </si>
  <si>
    <t>敗</t>
  </si>
  <si>
    <t>失分</t>
  </si>
  <si>
    <t>責失</t>
  </si>
  <si>
    <t>ERA</t>
  </si>
  <si>
    <t>被安打</t>
  </si>
  <si>
    <t>被盜壘</t>
  </si>
  <si>
    <t>K/9</t>
  </si>
  <si>
    <t>BB/9</t>
  </si>
  <si>
    <t>FIP</t>
  </si>
  <si>
    <t>WHIP</t>
  </si>
  <si>
    <t>LOB%</t>
  </si>
  <si>
    <t>H9</t>
  </si>
  <si>
    <t>HR9</t>
  </si>
  <si>
    <t>辛辛那提交人</t>
  </si>
  <si>
    <t>一軍</t>
  </si>
  <si>
    <t>KBO</t>
  </si>
  <si>
    <t>原球隊</t>
  </si>
  <si>
    <t>新球隊</t>
  </si>
  <si>
    <t>轉隊顯示</t>
  </si>
  <si>
    <t>原層級排序</t>
  </si>
  <si>
    <t>新層級排序</t>
  </si>
  <si>
    <t>異動類型</t>
  </si>
  <si>
    <t>異動顯示</t>
  </si>
  <si>
    <t>原狀態</t>
  </si>
  <si>
    <t>新狀態</t>
  </si>
  <si>
    <t>狀態欄顯示</t>
  </si>
  <si>
    <t>備註</t>
  </si>
  <si>
    <t>2A</t>
    <phoneticPr fontId="4" type="noConversion"/>
  </si>
  <si>
    <t>3A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</si>
</sst>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</font>
    <font>
      <sz val="12"/>
      <color rgb="FF000000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rgb="FF000000"/>
      <name val="宋体"/>
    </font>
    <font>
      <sz val="9"/>
      <name val="細明體"/>
      <family val="3"/>
      <charset val="136"/>
    </font>
    <font>
      <sz val="12"/>
      <color theme="1"/>
      <name val="標楷體"/>
      <family val="4"/>
      <charset val="136"/>
    </font>
    <font>
      <sz val="10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4"/>
      <color rgb="FF1F2937"/>
      <name val="標楷體"/>
      <family val="4"/>
      <charset val="136"/>
    </font>
    <font>
      <sz val="10"/>
      <color theme="1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b/>
      <sz val="14"/>
      <color rgb="FF000000"/>
      <name val="標楷體"/>
      <family val="4"/>
      <charset val="136"/>
    </font>
    <font>
      <b/>
      <sz val="14"/>
      <color theme="1"/>
      <name val="標楷體"/>
      <family val="4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F3F4F6"/>
      </patternFill>
    </fill>
    <fill>
      <patternFill patternType="solid">
        <fgColor rgb="FFE0F2FE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D9EAF7"/>
      </patternFill>
    </fill>
  </fills>
  <borders count="17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0" fillId="0" borderId="1" xfId="0" applyBorder="1" applyAlignment="1"/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3" fillId="0" borderId="0" xfId="0" applyFont="1" applyAlignment="1"/>
    <xf numFmtId="0" fontId="0" fillId="0" borderId="0" xfId="0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5" fillId="0" borderId="0" xfId="0" applyFont="1">
      <alignment vertical="center"/>
    </xf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7" fillId="2" borderId="5" xfId="0" applyFont="1" applyFill="1" applyBorder="1" applyAlignment="1"/>
    <xf numFmtId="0" fontId="1" fillId="4" borderId="4" xfId="0" applyFont="1" applyFill="1" applyBorder="1" applyAlignment="1"/>
    <xf numFmtId="0" fontId="1" fillId="4" borderId="5" xfId="0" applyFont="1" applyFill="1" applyBorder="1" applyAlignment="1"/>
    <xf numFmtId="0" fontId="1" fillId="5" borderId="4" xfId="0" applyFont="1" applyFill="1" applyBorder="1" applyAlignment="1"/>
    <xf numFmtId="0" fontId="1" fillId="5" borderId="5" xfId="0" applyFont="1" applyFill="1" applyBorder="1" applyAlignment="1"/>
    <xf numFmtId="0" fontId="1" fillId="7" borderId="4" xfId="0" applyFont="1" applyFill="1" applyBorder="1" applyAlignment="1"/>
    <xf numFmtId="0" fontId="1" fillId="7" borderId="5" xfId="0" applyFont="1" applyFill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8" fillId="0" borderId="0" xfId="0" applyFont="1" applyAlignment="1">
      <alignment horizontal="center" vertical="center"/>
    </xf>
    <xf numFmtId="0" fontId="5" fillId="0" borderId="0" xfId="0" applyFont="1" applyAlignment="1"/>
    <xf numFmtId="0" fontId="9" fillId="9" borderId="0" xfId="0" applyFont="1" applyFill="1" applyAlignment="1"/>
    <xf numFmtId="0" fontId="9" fillId="9" borderId="6" xfId="0" applyFont="1" applyFill="1" applyBorder="1" applyAlignment="1"/>
    <xf numFmtId="0" fontId="6" fillId="0" borderId="0" xfId="0" applyFont="1" applyAlignment="1"/>
    <xf numFmtId="0" fontId="10" fillId="0" borderId="0" xfId="0" applyFont="1" applyAlignment="1"/>
    <xf numFmtId="0" fontId="11" fillId="6" borderId="7" xfId="0" applyFont="1" applyFill="1" applyBorder="1" applyAlignment="1"/>
    <xf numFmtId="0" fontId="11" fillId="6" borderId="6" xfId="0" applyFont="1" applyFill="1" applyBorder="1" applyAlignment="1"/>
    <xf numFmtId="0" fontId="1" fillId="6" borderId="8" xfId="0" applyFont="1" applyFill="1" applyBorder="1" applyAlignment="1"/>
    <xf numFmtId="0" fontId="1" fillId="6" borderId="9" xfId="0" applyFont="1" applyFill="1" applyBorder="1" applyAlignment="1"/>
    <xf numFmtId="0" fontId="11" fillId="6" borderId="9" xfId="0" applyFont="1" applyFill="1" applyBorder="1" applyAlignment="1"/>
    <xf numFmtId="0" fontId="11" fillId="0" borderId="10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>
      <alignment wrapText="1"/>
    </xf>
    <xf numFmtId="0" fontId="1" fillId="0" borderId="11" xfId="0" applyFont="1" applyBorder="1" applyAlignment="1"/>
    <xf numFmtId="0" fontId="5" fillId="0" borderId="10" xfId="0" applyFont="1" applyBorder="1" applyAlignment="1"/>
    <xf numFmtId="0" fontId="1" fillId="0" borderId="12" xfId="0" applyFont="1" applyBorder="1" applyAlignment="1"/>
    <xf numFmtId="0" fontId="1" fillId="0" borderId="13" xfId="0" applyFont="1" applyBorder="1" applyAlignment="1">
      <alignment wrapText="1"/>
    </xf>
    <xf numFmtId="0" fontId="5" fillId="0" borderId="7" xfId="0" applyFont="1" applyBorder="1" applyAlignment="1"/>
    <xf numFmtId="0" fontId="5" fillId="0" borderId="8" xfId="0" applyFont="1" applyBorder="1" applyAlignment="1"/>
    <xf numFmtId="0" fontId="5" fillId="0" borderId="13" xfId="0" applyFont="1" applyBorder="1" applyAlignment="1"/>
    <xf numFmtId="0" fontId="8" fillId="6" borderId="7" xfId="0" applyFont="1" applyFill="1" applyBorder="1" applyAlignment="1"/>
    <xf numFmtId="0" fontId="5" fillId="6" borderId="8" xfId="0" applyFont="1" applyFill="1" applyBorder="1" applyAlignment="1"/>
    <xf numFmtId="0" fontId="8" fillId="0" borderId="8" xfId="0" applyFont="1" applyBorder="1" applyAlignment="1"/>
    <xf numFmtId="0" fontId="1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5" fillId="0" borderId="6" xfId="0" applyFont="1" applyBorder="1" applyAlignment="1"/>
    <xf numFmtId="0" fontId="1" fillId="0" borderId="6" xfId="0" applyFont="1" applyBorder="1" applyAlignment="1"/>
    <xf numFmtId="0" fontId="11" fillId="0" borderId="8" xfId="0" applyFont="1" applyBorder="1" applyAlignment="1">
      <alignment horizontal="center" vertical="center" wrapText="1"/>
    </xf>
    <xf numFmtId="0" fontId="8" fillId="0" borderId="9" xfId="0" applyFont="1" applyBorder="1" applyAlignment="1"/>
    <xf numFmtId="0" fontId="11" fillId="0" borderId="0" xfId="0" applyFont="1" applyAlignment="1">
      <alignment wrapText="1"/>
    </xf>
    <xf numFmtId="0" fontId="11" fillId="0" borderId="0" xfId="0" applyFont="1" applyAlignment="1"/>
    <xf numFmtId="0" fontId="11" fillId="0" borderId="14" xfId="0" applyFont="1" applyBorder="1" applyAlignment="1">
      <alignment vertical="center" wrapText="1"/>
    </xf>
    <xf numFmtId="0" fontId="8" fillId="0" borderId="15" xfId="0" applyFont="1" applyBorder="1" applyAlignment="1"/>
    <xf numFmtId="0" fontId="8" fillId="0" borderId="0" xfId="0" applyFont="1" applyAlignment="1"/>
    <xf numFmtId="0" fontId="5" fillId="0" borderId="9" xfId="0" applyFont="1" applyBorder="1" applyAlignment="1"/>
    <xf numFmtId="0" fontId="5" fillId="0" borderId="16" xfId="0" applyFont="1" applyBorder="1" applyAlignment="1"/>
    <xf numFmtId="0" fontId="5" fillId="0" borderId="12" xfId="0" applyFont="1" applyBorder="1" applyAlignment="1"/>
    <xf numFmtId="0" fontId="5" fillId="0" borderId="11" xfId="0" applyFont="1" applyBorder="1" applyAlignment="1"/>
    <xf numFmtId="0" fontId="12" fillId="0" borderId="0" xfId="0" applyFont="1" applyAlignment="1"/>
    <xf numFmtId="0" fontId="13" fillId="0" borderId="0" xfId="0" applyFont="1" applyAlignmen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1" fillId="8" borderId="0" xfId="0" applyFont="1" applyFill="1" applyAlignment="1">
      <alignment horizontal="left"/>
    </xf>
    <xf numFmtId="0" fontId="11" fillId="8" borderId="0" xfId="0" applyFont="1" applyFill="1" applyAlignment="1">
      <alignment horizontal="right"/>
    </xf>
    <xf numFmtId="0" fontId="8" fillId="8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0" borderId="0" xfId="0" applyFont="1" applyAlignment="1">
      <alignment vertical="center" wrapText="1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格7" displayName="表格7" ref="A2:K44">
  <autoFilter ref="A2:K44" xr:uid="{00000000-0009-0000-0100-000002000000}"/>
  <tableColumns count="11">
    <tableColumn id="1" xr3:uid="{00000000-0010-0000-0000-000001000000}" name="球員"/>
    <tableColumn id="8" xr3:uid="{00000000-0010-0000-0000-000008000000}" name="分類"/>
    <tableColumn id="2" xr3:uid="{00000000-0010-0000-0000-000002000000}" name="層級"/>
    <tableColumn id="3" xr3:uid="{00000000-0010-0000-0000-000003000000}" name="守位"/>
    <tableColumn id="4" xr3:uid="{00000000-0010-0000-0000-000004000000}" name="球隊"/>
    <tableColumn id="5" xr3:uid="{00000000-0010-0000-0000-000005000000}" name="是否先發/前次出賽"/>
    <tableColumn id="6" xr3:uid="{00000000-0010-0000-0000-000006000000}" name="對手"/>
    <tableColumn id="7" xr3:uid="{00000000-0010-0000-0000-000007000000}" name="今日成績"/>
    <tableColumn id="11" xr3:uid="{00000000-0010-0000-0000-00000B000000}" name="排序欄1"/>
    <tableColumn id="10" xr3:uid="{00000000-0010-0000-0000-00000A000000}" name="排序欄2"/>
    <tableColumn id="9" xr3:uid="{00000000-0010-0000-0000-000009000000}" name="排序欄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opLeftCell="A6" workbookViewId="0">
      <selection activeCell="C21" sqref="C21"/>
    </sheetView>
  </sheetViews>
  <sheetFormatPr defaultRowHeight="16.5"/>
  <cols>
    <col min="1" max="1" width="17.5" style="25" customWidth="1"/>
    <col min="2" max="2" width="9.5" style="25" customWidth="1"/>
    <col min="3" max="3" width="13.375" style="25" customWidth="1"/>
    <col min="4" max="4" width="9" style="25"/>
    <col min="5" max="5" width="7.625" style="25" customWidth="1"/>
    <col min="6" max="6" width="3.75" style="25" customWidth="1"/>
    <col min="7" max="7" width="26.5" style="25" customWidth="1"/>
    <col min="8" max="8" width="9.625" style="25" customWidth="1"/>
    <col min="9" max="9" width="22" style="25" customWidth="1"/>
    <col min="10" max="10" width="4.875" style="25" customWidth="1"/>
    <col min="11" max="16384" width="9" style="25"/>
  </cols>
  <sheetData>
    <row r="1" spans="1:26" ht="19.5">
      <c r="A1" s="26" t="s">
        <v>0</v>
      </c>
      <c r="B1" s="27"/>
      <c r="C1" s="27"/>
      <c r="D1" s="27"/>
      <c r="E1" s="27"/>
      <c r="F1" s="27"/>
      <c r="G1" s="27"/>
      <c r="H1" s="26"/>
      <c r="I1" s="26"/>
      <c r="J1" s="26"/>
      <c r="K1" s="28"/>
      <c r="L1" s="28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>
      <c r="A2" s="30" t="s">
        <v>1</v>
      </c>
      <c r="B2" s="31"/>
      <c r="C2" s="32"/>
      <c r="D2" s="32"/>
      <c r="E2" s="32"/>
      <c r="F2" s="32"/>
      <c r="G2" s="33"/>
      <c r="H2" s="1"/>
      <c r="I2" s="30" t="s">
        <v>2</v>
      </c>
      <c r="J2" s="34"/>
      <c r="K2" s="28"/>
      <c r="L2" s="28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>
      <c r="A3" s="35" t="s">
        <v>3</v>
      </c>
      <c r="B3" s="36" t="s">
        <v>4</v>
      </c>
      <c r="C3" s="37"/>
      <c r="D3" s="37"/>
      <c r="E3" s="37"/>
      <c r="F3" s="38"/>
      <c r="G3" s="39"/>
      <c r="H3" s="1"/>
      <c r="I3" s="40" t="s">
        <v>5</v>
      </c>
      <c r="J3" s="41">
        <f>COUNTIF(總表!$G:$G,"MLB")</f>
        <v>3</v>
      </c>
      <c r="K3" s="28"/>
      <c r="L3" s="28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>
      <c r="A4" s="42" t="str">
        <f>IFERROR(INDEX(今日戰報!$A$4:$A$200,MATCH(ROWS($A$4:A4),今日戰報!$L$4:$L$200,0)),"")</f>
        <v>林昱珉</v>
      </c>
      <c r="B4" s="25" t="str">
        <f t="array" ref="B4">IFERROR(INDEX(今日戰報!$H$4:$H$200,MATCH(ROWS($A$4:A4),今日戰報!$L$4:$L$200,0)),"")</f>
        <v>0.2IP，32P，5H，5R，2ER，2K，ERA 6.35，WHIP 2.12(L)</v>
      </c>
      <c r="D4" s="1"/>
      <c r="E4" s="1"/>
      <c r="F4" s="1"/>
      <c r="G4" s="43"/>
      <c r="H4" s="1"/>
      <c r="I4" s="44" t="s">
        <v>6</v>
      </c>
      <c r="J4" s="41">
        <f>COUNTIF(總表!$G:$G,"3A")</f>
        <v>4</v>
      </c>
      <c r="K4" s="28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>
      <c r="A5" s="42" t="str">
        <f t="array" ref="A5">IFERROR(INDEX(今日戰報!$A$4:$A$200,MATCH(ROWS($A$4:A5),今日戰報!$L$4:$L$200,0)),"")</f>
        <v>陳柏毓</v>
      </c>
      <c r="B5" s="45" t="str">
        <f t="array" ref="B5">IFERROR(INDEX(今日戰報!$H$4:$H$200,MATCH(ROWS($A$4:A5),今日戰報!$L$4:$L$200,0)),"")</f>
        <v>4.0IP，4H，2R，1ER，1HR，4K，2BB，73P,ERA 5.65，WHIP 1.47 (無關勝敗)</v>
      </c>
      <c r="C5" s="46"/>
      <c r="D5" s="38"/>
      <c r="E5" s="38"/>
      <c r="F5" s="38"/>
      <c r="G5" s="39"/>
      <c r="H5" s="1"/>
      <c r="I5" s="44" t="s">
        <v>7</v>
      </c>
      <c r="J5" s="41">
        <f>COUNTIF(總表!$G:$G,"2A")</f>
        <v>5</v>
      </c>
      <c r="K5" s="28"/>
      <c r="L5" s="28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>
      <c r="A6" s="42" t="str">
        <f t="array" ref="A6">IFERROR(INDEX(今日戰報!$A$4:$A$200,MATCH(ROWS($A$4:A6),今日戰報!$L$4:$L$200,0)),"")</f>
        <v/>
      </c>
      <c r="B6" s="25" t="str">
        <f t="array" ref="B6">IFERROR(INDEX(今日戰報!$H$4:$H$200,MATCH(ROWS($A$4:A6),今日戰報!$L$4:$L$200,0)),"")</f>
        <v/>
      </c>
      <c r="D6" s="1"/>
      <c r="E6" s="1"/>
      <c r="F6" s="1"/>
      <c r="G6" s="43"/>
      <c r="H6" s="1"/>
      <c r="I6" s="44" t="s">
        <v>8</v>
      </c>
      <c r="J6" s="41">
        <f>COUNTIF(總表!$G:$G,"A+")</f>
        <v>3</v>
      </c>
      <c r="K6" s="28"/>
      <c r="L6" s="28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>
      <c r="A7" s="42" t="str">
        <f t="array" ref="A7">IFERROR(INDEX(今日戰報!$A$4:$A$200,MATCH(ROWS($A$4:A7),今日戰報!$L$4:$L$200,0)),"")</f>
        <v/>
      </c>
      <c r="B7" s="45" t="str">
        <f t="array" ref="B7">IFERROR(INDEX(今日戰報!$H$4:$H$200,MATCH(ROWS($A$4:A7),今日戰報!$L$4:$L$200,0)),"")</f>
        <v/>
      </c>
      <c r="C7" s="46"/>
      <c r="D7" s="38"/>
      <c r="E7" s="38"/>
      <c r="F7" s="38"/>
      <c r="G7" s="39"/>
      <c r="H7" s="1"/>
      <c r="I7" s="44" t="s">
        <v>9</v>
      </c>
      <c r="J7" s="41">
        <f>COUNTIF(總表!$G:$G,"1A")</f>
        <v>5</v>
      </c>
      <c r="K7" s="28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>
      <c r="A8" s="42" t="str">
        <f t="array" ref="A8">IFERROR(INDEX(今日戰報!$A$4:$A$200,MATCH(ROWS($A$4:A8),今日戰報!$L$4:$L$200,0)),"")</f>
        <v/>
      </c>
      <c r="B8" s="25" t="str">
        <f t="array" ref="B8">IFERROR(INDEX(今日戰報!$H$4:$H$200,MATCH(ROWS($A$4:A8),今日戰報!$L$4:$L$200,0)),"")</f>
        <v/>
      </c>
      <c r="D8" s="1"/>
      <c r="E8" s="1"/>
      <c r="F8" s="1"/>
      <c r="G8" s="43"/>
      <c r="H8" s="1"/>
      <c r="I8" s="44" t="s">
        <v>10</v>
      </c>
      <c r="J8" s="41">
        <f>COUNTIF(總表!$G:$G,"RK")</f>
        <v>6</v>
      </c>
      <c r="K8" s="28"/>
      <c r="L8" s="28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>
      <c r="A9" s="47"/>
      <c r="B9" s="45"/>
      <c r="C9" s="46"/>
      <c r="D9" s="38"/>
      <c r="E9" s="38"/>
      <c r="F9" s="38"/>
      <c r="G9" s="39"/>
      <c r="H9" s="1"/>
      <c r="I9" s="44" t="s">
        <v>11</v>
      </c>
      <c r="J9" s="41">
        <f>COUNTIF(總表!$G:$G,"日職一軍")</f>
        <v>2</v>
      </c>
      <c r="K9" s="28"/>
      <c r="L9" s="28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>
      <c r="A10" s="48" t="s">
        <v>12</v>
      </c>
      <c r="B10" s="49"/>
      <c r="C10" s="49"/>
      <c r="D10" s="32"/>
      <c r="E10" s="32"/>
      <c r="F10" s="32"/>
      <c r="G10" s="33"/>
      <c r="H10" s="1"/>
      <c r="I10" s="44" t="s">
        <v>13</v>
      </c>
      <c r="J10" s="41">
        <f>COUNTIF(總表!$G:$G,"日職二軍")</f>
        <v>11</v>
      </c>
      <c r="K10" s="28"/>
      <c r="L10" s="28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>
      <c r="A11" s="35" t="s">
        <v>3</v>
      </c>
      <c r="B11" s="50" t="s">
        <v>4</v>
      </c>
      <c r="C11" s="46"/>
      <c r="D11" s="37"/>
      <c r="E11" s="37"/>
      <c r="F11" s="38"/>
      <c r="G11" s="39"/>
      <c r="H11" s="1"/>
      <c r="I11" s="44" t="s">
        <v>14</v>
      </c>
      <c r="J11" s="41">
        <f>COUNTIF(總表!$G:$G,"韓職一軍")+COUNTIF(總表!$G:$G,"韓職二軍")+COUNTIF(總表!$G:$G,"KBO")</f>
        <v>1</v>
      </c>
      <c r="K11" s="28"/>
      <c r="L11" s="28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>
      <c r="A12" s="42" t="str">
        <f t="array" ref="A12">IFERROR(INDEX(今日戰報!$A$4:$A$200,MATCH(ROWS($A$12:A12),今日戰報!$M$4:$M$200,0)),"")</f>
        <v>鄭宗哲</v>
      </c>
      <c r="B12" s="25" t="str">
        <f t="array" ref="B12">IFERROR(INDEX(今日戰報!$H$4:$H$200,MATCH(ROWS($A$12:A12),今日戰報!$M$4:$M$200,0)),"")</f>
        <v>5AB，1H，3K，AVG.262，OBP.395，SLG.508​</v>
      </c>
      <c r="D12" s="1"/>
      <c r="E12" s="1"/>
      <c r="F12" s="1"/>
      <c r="G12" s="43"/>
      <c r="H12" s="1"/>
      <c r="I12" s="44" t="s">
        <v>15</v>
      </c>
      <c r="J12" s="41">
        <f>SUM(J3:J11)</f>
        <v>40</v>
      </c>
      <c r="K12" s="28"/>
      <c r="L12" s="28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>
      <c r="A13" s="42" t="str">
        <f t="array" ref="A13">IFERROR(INDEX(今日戰報!$A$4:$A$200,MATCH(ROWS($A$12:A13),今日戰報!$M$4:$M$200,0)),"")</f>
        <v>Corbin Carroll</v>
      </c>
      <c r="B13" s="45" t="str">
        <f t="array" ref="B13">IFERROR(INDEX(今日戰報!$H$4:$H$200,MATCH(ROWS($A$12:A13),今日戰報!$M$4:$M$200,0)),"")</f>
        <v>4AB，0H，1K，AVG.296，OBP.396，SLG.580</v>
      </c>
      <c r="C13" s="46"/>
      <c r="D13" s="38"/>
      <c r="E13" s="38"/>
      <c r="F13" s="38"/>
      <c r="G13" s="51"/>
      <c r="H13" s="52"/>
      <c r="I13" s="1"/>
      <c r="J13" s="1"/>
      <c r="K13" s="28"/>
      <c r="L13" s="28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>
      <c r="A14" s="42" t="str">
        <f t="array" ref="A14">IFERROR(INDEX(今日戰報!$A$4:$A$200,MATCH(ROWS($A$12:A14),今日戰報!$M$4:$M$200,0)),"")</f>
        <v>Jonathon Long</v>
      </c>
      <c r="B14" s="25" t="str">
        <f t="array" ref="B14">IFERROR(INDEX(今日戰報!$H$4:$H$200,MATCH(ROWS($A$12:A14),今日戰報!$M$4:$M$200,0)),"")</f>
        <v>4AB，0H，AVG.267，OBP.370，SLG.395</v>
      </c>
      <c r="D14" s="1"/>
      <c r="E14" s="1"/>
      <c r="F14" s="1"/>
      <c r="G14" s="43"/>
      <c r="H14" s="52"/>
      <c r="I14" s="1"/>
      <c r="J14" s="1"/>
      <c r="K14" s="28"/>
      <c r="L14" s="28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>
      <c r="A15" s="42" t="str">
        <f t="array" ref="A15">IFERROR(INDEX(今日戰報!$A$4:$A$200,MATCH(ROWS($A$12:A15),今日戰報!$M$4:$M$200,0)),"")</f>
        <v/>
      </c>
      <c r="B15" s="45" t="str">
        <f t="array" ref="B15">IFERROR(INDEX(今日戰報!$H$4:$H$200,MATCH(ROWS($A$12:A15),今日戰報!$M$4:$M$200,0)),"")</f>
        <v/>
      </c>
      <c r="C15" s="46"/>
      <c r="D15" s="38"/>
      <c r="E15" s="38"/>
      <c r="F15" s="38"/>
      <c r="G15" s="39"/>
      <c r="H15" s="1"/>
      <c r="I15" s="1"/>
      <c r="J15" s="1"/>
      <c r="K15" s="28"/>
      <c r="L15" s="28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>
      <c r="A16" s="42" t="str">
        <f t="array" ref="A16">IFERROR(INDEX(今日戰報!$A$4:$A$200,MATCH(ROWS($A$12:A16),今日戰報!$M$4:$M$200,0)),"")</f>
        <v/>
      </c>
      <c r="B16" s="25" t="str">
        <f t="array" ref="B16">IFERROR(INDEX(今日戰報!$H$4:$H$200,MATCH(ROWS($A$12:A16),今日戰報!$M$4:$M$200,0)),"")</f>
        <v/>
      </c>
      <c r="D16" s="1"/>
      <c r="E16" s="1"/>
      <c r="F16" s="1"/>
      <c r="G16" s="43"/>
      <c r="H16" s="1"/>
      <c r="I16" s="1"/>
      <c r="J16" s="1"/>
      <c r="K16" s="28"/>
      <c r="L16" s="28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>
      <c r="A17" s="42" t="str">
        <f t="array" ref="A17">IFERROR(INDEX(今日戰報!$A$4:$A$200,MATCH(ROWS($A$12:A17),今日戰報!$M$4:$M$200,0)),"")</f>
        <v/>
      </c>
      <c r="B17" s="45" t="str">
        <f t="array" ref="B17">IFERROR(INDEX(今日戰報!$H$4:$H$200,MATCH(ROWS($A$12:A17),今日戰報!$M$4:$M$200,0)),"")</f>
        <v/>
      </c>
      <c r="C17" s="46"/>
      <c r="D17" s="38"/>
      <c r="E17" s="38"/>
      <c r="F17" s="38"/>
      <c r="G17" s="39"/>
      <c r="H17" s="1"/>
      <c r="I17" s="1"/>
      <c r="J17" s="1"/>
      <c r="K17" s="28"/>
      <c r="L17" s="28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>
      <c r="A18" s="47" t="str">
        <f t="array" ref="A18">IFERROR(INDEX(今日戰報!$A$4:$A$200,MATCH(ROWS($A$12:A18),今日戰報!$M$4:$M$200,0)),"")</f>
        <v/>
      </c>
      <c r="B18" s="53" t="str">
        <f t="array" ref="B18">IFERROR(INDEX(今日戰報!$H$4:$H$200,MATCH(ROWS($A$12:A18),今日戰報!$M$4:$M$200,0)),"")</f>
        <v/>
      </c>
      <c r="C18" s="53"/>
      <c r="D18" s="54"/>
      <c r="E18" s="38"/>
      <c r="F18" s="38"/>
      <c r="G18" s="39"/>
      <c r="H18" s="1"/>
      <c r="I18" s="1"/>
      <c r="J18" s="1"/>
      <c r="K18" s="28"/>
      <c r="L18" s="28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>
      <c r="A19" s="55" t="s">
        <v>16</v>
      </c>
      <c r="B19" s="55"/>
      <c r="C19" s="56"/>
      <c r="E19" s="57"/>
      <c r="F19" s="57"/>
      <c r="G19" s="58"/>
      <c r="H19" s="58"/>
      <c r="I19" s="1"/>
      <c r="J19" s="1"/>
      <c r="K19" s="28"/>
      <c r="L19" s="28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>
      <c r="A20" s="59" t="s">
        <v>17</v>
      </c>
      <c r="B20" s="59" t="s">
        <v>18</v>
      </c>
      <c r="C20" s="60" t="s">
        <v>19</v>
      </c>
      <c r="D20" s="61"/>
      <c r="E20" s="57"/>
      <c r="F20" s="57"/>
      <c r="G20" s="61"/>
      <c r="H20" s="58"/>
      <c r="I20" s="1"/>
      <c r="J20" s="1"/>
      <c r="K20" s="28"/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>
      <c r="A21" s="42" t="str">
        <f t="array" ref="A21">IFERROR(INDEX(總表!$A$2:$A$200,MATCH(ROWS($A$21:A21),總表!$V$2:$V$200,0)),"")</f>
        <v>劉致榮</v>
      </c>
      <c r="B21" s="42" t="str">
        <f t="array" ref="B21">IF($A21="","",IFERROR(INDEX(異動資料源!$H$2:$H$200,MATCH($A21,異動資料源!$A$2:$A$200,0)),""))</f>
        <v/>
      </c>
      <c r="C21" s="62" t="str">
        <f>IF($A21="","",IFERROR(INDEX(異動資料源!$M$2:$M$200,MATCH($A21,異動資料源!$A$2:$A$200,0)),""))</f>
        <v>⚕ IL(39/60)</v>
      </c>
      <c r="D21" s="1"/>
      <c r="E21" s="1"/>
      <c r="F21" s="1"/>
      <c r="G21" s="1"/>
      <c r="H21" s="1"/>
      <c r="I21" s="1"/>
      <c r="J21" s="1"/>
      <c r="K21" s="28"/>
      <c r="L21" s="28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>
      <c r="A22" s="63" t="str">
        <f t="array" ref="A22">IFERROR(INDEX(總表!$A$2:$A$200,MATCH(ROWS($A$21:A22),總表!$V$2:$V$200,0)),"")</f>
        <v>沈家羲</v>
      </c>
      <c r="B22" s="63" t="str">
        <f t="array" ref="B22">IF($A22="","",IFERROR(INDEX(異動資料源!$H$2:$H$200,MATCH($A22,異動資料源!$A$2:$A$200,0)),""))</f>
        <v/>
      </c>
      <c r="C22" s="64" t="str">
        <f>IF($A22="","",IFERROR(INDEX(異動資料源!$M$2:$M$200,MATCH($A22,異動資料源!$A$2:$A$200,0)),""))</f>
        <v>⚕ IL(39/60)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>
      <c r="A23" s="42" t="str">
        <f t="array" ref="A23">IFERROR(INDEX(總表!$A$2:$A$200,MATCH(ROWS($A$21:A23),總表!$V$2:$V$200,0)),"")</f>
        <v/>
      </c>
      <c r="B23" s="42" t="str">
        <f t="array" ref="B23">IF($A23="","",IFERROR(INDEX(異動資料源!$H$2:$H$200,MATCH($A23,異動資料源!$A$2:$A$200,0)),""))</f>
        <v/>
      </c>
      <c r="C23" s="62" t="str">
        <f>IF($A23="","",IFERROR(INDEX(異動資料源!$M$2:$M$200,MATCH($A23,異動資料源!$A$2:$A$200,0)),""))</f>
        <v/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>
      <c r="A24" s="42" t="str">
        <f t="array" ref="A24">IFERROR(INDEX(總表!$A$2:$A$200,MATCH(ROWS($A$21:A24),總表!$V$2:$V$200,0)),"")</f>
        <v/>
      </c>
      <c r="B24" s="42" t="str">
        <f t="array" ref="B24">IF($A24="","",IFERROR(INDEX(異動資料源!$H$2:$H$200,MATCH($A24,異動資料源!$A$2:$A$200,0)),""))</f>
        <v/>
      </c>
      <c r="C24" s="62" t="str">
        <f>IF($A24="","",IFERROR(INDEX(異動資料源!$M$2:$M$200,MATCH($A24,異動資料源!$A$2:$A$200,0)),""))</f>
        <v/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>
      <c r="A25" s="47" t="str">
        <f t="array" ref="A25">IFERROR(INDEX(總表!$A$2:$A$200,MATCH(ROWS($A$21:A25),總表!$V$2:$V$200,0)),"")</f>
        <v/>
      </c>
      <c r="B25" s="47" t="str">
        <f t="array" ref="B25">IF($A25="","",IFERROR(INDEX(異動資料源!$H$2:$H$200,MATCH($A25,異動資料源!$A$2:$A$200,0)),""))</f>
        <v/>
      </c>
      <c r="C25" s="65" t="str">
        <f>IF($A25="","",IFERROR(INDEX(異動資料源!$M$2:$M$200,MATCH($A25,異動資料源!$A$2:$A$200,0)),""))</f>
        <v/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>
      <c r="A26" s="29" t="str">
        <f>IFERROR(INDEX(總表!$A$2:$A$200,MATCH(ROWS($A$21:A26),總表!$V$2:$V$200,0)),"")</f>
        <v/>
      </c>
      <c r="B26" s="29" t="str">
        <f>IF($A26="","",IFERROR(INDEX(異動資料源!$H$2:$H$200,MATCH($A26,異動資料源!$A$2:$A$200,0)),""))</f>
        <v/>
      </c>
      <c r="C26" s="29" t="str">
        <f>IF($A26="","",IFERROR(INDEX(異動資料源!$M$2:$M$200,MATCH($A26,異動資料源!$A$2:$A$200,0)),""))</f>
        <v/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>
      <c r="A27" s="29" t="str">
        <f>IFERROR(INDEX(總表!$A$2:$A$200,MATCH(ROWS($A$21:A27),總表!$V$2:$V$200,0)),"")</f>
        <v/>
      </c>
      <c r="B27" s="29" t="str">
        <f>IF($A27="","",IFERROR(INDEX(異動資料源!$H$2:$H$200,MATCH($A27,異動資料源!$A$2:$A$200,0)),""))</f>
        <v/>
      </c>
      <c r="C27" s="29" t="str">
        <f>IF($A27="","",IFERROR(INDEX(異動資料源!$M$2:$M$200,MATCH($A27,異動資料源!$A$2:$A$200,0)),""))</f>
        <v/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>
      <c r="A28" s="29" t="str">
        <f>IFERROR(INDEX(總表!$A$2:$A$200,MATCH(ROWS($A$21:A28),總表!$V$2:$V$200,0)),"")</f>
        <v/>
      </c>
      <c r="B28" s="29" t="str">
        <f>IF($A28="","",IFERROR(INDEX(異動資料源!$H$2:$H$200,MATCH($A28,異動資料源!$A$2:$A$200,0)),""))</f>
        <v/>
      </c>
      <c r="C28" s="29" t="str">
        <f>IF($A28="","",IFERROR(INDEX(異動資料源!$M$2:$M$200,MATCH($A28,異動資料源!$A$2:$A$200,0)),""))</f>
        <v/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>
      <c r="A29" s="29" t="str">
        <f>IFERROR(INDEX(總表!$A$2:$A$200,MATCH(ROWS($A$21:A29),總表!$V$2:$V$200,0)),"")</f>
        <v/>
      </c>
      <c r="B29" s="29" t="str">
        <f>IF($A29="","",IFERROR(INDEX(異動資料源!$H$2:$H$200,MATCH($A29,異動資料源!$A$2:$A$200,0)),""))</f>
        <v/>
      </c>
      <c r="C29" s="29" t="str">
        <f>IF($A29="","",IFERROR(INDEX(異動資料源!$M$2:$M$200,MATCH($A29,異動資料源!$A$2:$A$200,0)),""))</f>
        <v/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>
      <c r="A30" s="29" t="str">
        <f>IFERROR(INDEX(總表!$A$2:$A$200,MATCH(ROWS($A$21:A30),總表!$V$2:$V$200,0)),"")</f>
        <v/>
      </c>
      <c r="B30" s="29" t="str">
        <f>IF($A30="","",IFERROR(INDEX(異動資料源!$H$2:$H$200,MATCH($A30,異動資料源!$A$2:$A$200,0)),""))</f>
        <v/>
      </c>
      <c r="C30" s="29" t="str">
        <f>IF($A30="","",IFERROR(INDEX(異動資料源!$M$2:$M$200,MATCH($A30,異動資料源!$A$2:$A$200,0)),""))</f>
        <v/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>
      <c r="A31" s="29" t="str">
        <f>IFERROR(INDEX(總表!$A$2:$A$200,MATCH(ROWS($A$21:A31),總表!$V$2:$V$200,0)),"")</f>
        <v/>
      </c>
      <c r="B31" s="29" t="str">
        <f>IF($A31="","",IFERROR(INDEX(異動資料源!$H$2:$H$200,MATCH($A31,異動資料源!$A$2:$A$200,0)),""))</f>
        <v/>
      </c>
      <c r="C31" s="29" t="str">
        <f>IF($A31="","",IFERROR(INDEX(異動資料源!$M$2:$M$200,MATCH($A31,異動資料源!$A$2:$A$200,0)),""))</f>
        <v/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>
      <c r="A32" s="29" t="str">
        <f>IFERROR(INDEX(總表!$A$2:$A$200,MATCH(ROWS($A$21:A32),總表!$V$2:$V$200,0)),"")</f>
        <v/>
      </c>
      <c r="B32" s="29" t="str">
        <f>IF($A32="","",IFERROR(INDEX(異動資料源!$H$2:$H$200,MATCH($A32,異動資料源!$A$2:$A$200,0)),""))</f>
        <v/>
      </c>
      <c r="C32" s="29" t="str">
        <f>IF($A32="","",IFERROR(INDEX(異動資料源!$M$2:$M$200,MATCH($A32,異動資料源!$A$2:$A$200,0)),""))</f>
        <v/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>
      <c r="A33" s="29" t="str">
        <f>IFERROR(INDEX(總表!$A$2:$A$200,MATCH(ROWS($A$21:A33),總表!$V$2:$V$200,0)),"")</f>
        <v/>
      </c>
      <c r="B33" s="29" t="str">
        <f>IF($A33="","",IFERROR(INDEX(異動資料源!$H$2:$H$200,MATCH($A33,異動資料源!$A$2:$A$200,0)),""))</f>
        <v/>
      </c>
      <c r="C33" s="29" t="str">
        <f>IF($A33="","",IFERROR(INDEX(異動資料源!$M$2:$M$200,MATCH($A33,異動資料源!$A$2:$A$200,0)),""))</f>
        <v/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>
      <c r="A34" s="29" t="str">
        <f>IFERROR(INDEX(總表!$A$2:$A$200,MATCH(ROWS($A$21:A34),總表!$V$2:$V$200,0)),"")</f>
        <v/>
      </c>
      <c r="B34" s="29" t="str">
        <f>IF($A34="","",IFERROR(INDEX(異動資料源!$H$2:$H$200,MATCH($A34,異動資料源!$A$2:$A$200,0)),""))</f>
        <v/>
      </c>
      <c r="C34" s="29" t="str">
        <f>IF($A34="","",IFERROR(INDEX(異動資料源!$M$2:$M$200,MATCH($A34,異動資料源!$A$2:$A$200,0)),""))</f>
        <v/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>
      <c r="A35" s="29" t="str">
        <f>IFERROR(INDEX(總表!$A$2:$A$200,MATCH(ROWS($A$21:A35),總表!$V$2:$V$200,0)),"")</f>
        <v/>
      </c>
      <c r="B35" s="29" t="str">
        <f>IF($A35="","",IFERROR(INDEX(異動資料源!$H$2:$H$200,MATCH($A35,異動資料源!$A$2:$A$200,0)),""))</f>
        <v/>
      </c>
      <c r="C35" s="29" t="str">
        <f>IF($A35="","",IFERROR(INDEX(異動資料源!$M$2:$M$200,MATCH($A35,異動資料源!$A$2:$A$200,0)),""))</f>
        <v/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E9" sqref="E9"/>
    </sheetView>
  </sheetViews>
  <sheetFormatPr defaultRowHeight="16.5"/>
  <cols>
    <col min="1" max="1" width="25.625" style="25" customWidth="1"/>
    <col min="2" max="4" width="6.75" style="25" customWidth="1"/>
    <col min="5" max="5" width="16.75" style="25" customWidth="1"/>
    <col min="6" max="6" width="18.875" style="25" customWidth="1"/>
    <col min="7" max="7" width="6.625" style="25" customWidth="1"/>
    <col min="8" max="8" width="76.25" style="25" customWidth="1"/>
    <col min="9" max="10" width="9.25" style="25" hidden="1" customWidth="1"/>
    <col min="11" max="11" width="11.25" style="25" hidden="1" customWidth="1"/>
    <col min="12" max="12" width="12.625" style="70" hidden="1" customWidth="1"/>
    <col min="13" max="13" width="12.625" style="25" hidden="1" customWidth="1"/>
    <col min="14" max="14" width="11.25" style="25" customWidth="1"/>
    <col min="15" max="16" width="11.625" style="25" customWidth="1"/>
    <col min="17" max="16384" width="9" style="25"/>
  </cols>
  <sheetData>
    <row r="1" spans="1:26" ht="19.5">
      <c r="A1" s="66" t="s">
        <v>20</v>
      </c>
      <c r="B1" s="66"/>
      <c r="C1" s="66"/>
      <c r="D1" s="66"/>
      <c r="E1" s="66"/>
      <c r="F1" s="66"/>
      <c r="G1" s="66"/>
      <c r="H1" s="67"/>
      <c r="I1" s="68"/>
      <c r="J1" s="68"/>
      <c r="K1" s="67"/>
      <c r="L1" s="67"/>
      <c r="M1" s="67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s="69" customFormat="1">
      <c r="A2" s="71" t="s">
        <v>17</v>
      </c>
      <c r="B2" s="71" t="s">
        <v>21</v>
      </c>
      <c r="C2" s="71" t="s">
        <v>22</v>
      </c>
      <c r="D2" s="71" t="s">
        <v>23</v>
      </c>
      <c r="E2" s="71" t="s">
        <v>24</v>
      </c>
      <c r="F2" s="71" t="s">
        <v>25</v>
      </c>
      <c r="G2" s="71" t="s">
        <v>26</v>
      </c>
      <c r="H2" s="71" t="s">
        <v>4</v>
      </c>
      <c r="I2" s="72" t="s">
        <v>27</v>
      </c>
      <c r="J2" s="72" t="s">
        <v>28</v>
      </c>
      <c r="K2" s="71" t="s">
        <v>29</v>
      </c>
      <c r="L2" s="73" t="s">
        <v>30</v>
      </c>
      <c r="M2" s="73" t="s">
        <v>31</v>
      </c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s="69" customFormat="1">
      <c r="A3" s="74" t="s">
        <v>1</v>
      </c>
      <c r="B3" s="74" t="str">
        <f>IFERROR(INDEX(總表!$B:$B,MATCH($A3,總表!$A:$A,0)),"")</f>
        <v/>
      </c>
      <c r="C3" s="74" t="str">
        <f>IFERROR(INDEX(總表!$G:$G,MATCH($A3,總表!$A:$A,0)),"")</f>
        <v/>
      </c>
      <c r="D3" s="74" t="str">
        <f>IFERROR(INDEX(總表!$C:$C,MATCH($A3,總表!$A:$A,0)),"")</f>
        <v/>
      </c>
      <c r="E3" s="74" t="str">
        <f>IFERROR(INDEX(總表!$F:$F,MATCH($A3,總表!$A:$A,0)),"")</f>
        <v/>
      </c>
      <c r="F3" s="74"/>
      <c r="G3" s="74"/>
      <c r="H3" s="74"/>
      <c r="I3" s="75">
        <f t="shared" ref="I3:I66" si="0">IF($A3="投手",1,IF($D3="投手",2,IF($A3="野手",3,IF(OR($D3="野手",$D3="內野手",$D3="外野手",$D3="捕手"),4,99))))</f>
        <v>1</v>
      </c>
      <c r="J3" s="75">
        <f t="array" ref="J3">IF($B3="旅美",1,IF($B3="旅日",2,IF($B3="旅韓",3,IF($B3="台裔",4,IF($B3&lt;&gt;"",5,99)))))</f>
        <v>99</v>
      </c>
      <c r="K3" s="75">
        <f t="array" ref="K3">IF($C3="MLB",1,IF($C3="3A",2,IF($C3="2A",3,IF(OR($C3="A+",$C3="高A"),4,IF($C3="1A",5,IF(OR($C3="RK",$C3="Rookie"),6,IF($C3="日職一軍",7,IF($C3="日職二軍",8,IF(OR($C3="韓職一軍",$C3="KBO"),9,IF($C3&lt;&gt;"",10,99))))))))))</f>
        <v>99</v>
      </c>
      <c r="L3" s="69" t="str">
        <f>IF(AND($D3="投手",LEFT($F3,3)="YES",OR($C3="MLB",$C3="3A",$C3="2A",$C3="日職一軍",$C3="韓職一軍",$C3="KBO")),COUNT($L2:L$3)+1,"")</f>
        <v/>
      </c>
      <c r="M3" s="69" t="str">
        <f>IF(AND($D3&lt;&gt;"投手",$D3&lt;&gt;"",LEFT($F3,3)="YES",OR($C3="MLB",$C3="3A",$C3="2A",$C3="日職一軍",$C3="韓職一軍",$C3="KBO")),COUNT($M2:M$3)+1,"")</f>
        <v/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>
      <c r="A4" s="2" t="s">
        <v>32</v>
      </c>
      <c r="B4" s="2" t="str">
        <f>IFERROR(INDEX(總表!$B:$B,MATCH($A4,總表!$A:$A,0)),"")</f>
        <v>旅美</v>
      </c>
      <c r="C4" s="2" t="str">
        <f>IFERROR(INDEX(總表!$G:$G,MATCH($A4,總表!$A:$A,0)),"")</f>
        <v>MLB</v>
      </c>
      <c r="D4" s="76" t="str">
        <f>IFERROR(INDEX(總表!$C:$C,MATCH($A4,總表!$A:$A,0)),"")</f>
        <v>投手</v>
      </c>
      <c r="E4" s="2" t="str">
        <f>IFERROR(INDEX(總表!$F:$F,MATCH($A4,總表!$A:$A,0)),"")</f>
        <v>休士頓太空人</v>
      </c>
      <c r="F4" s="77" t="s">
        <v>33</v>
      </c>
      <c r="G4" s="1"/>
      <c r="H4" s="1"/>
      <c r="I4" s="75">
        <f t="shared" si="0"/>
        <v>2</v>
      </c>
      <c r="J4" s="75">
        <f t="array" ref="J4">IF($B4="旅美",1,IF($B4="旅日",2,IF($B4="旅韓",3,IF($B4="台裔",4,IF($B4&lt;&gt;"",5,99)))))</f>
        <v>1</v>
      </c>
      <c r="K4" s="1">
        <f t="array" ref="K4">IF($C4="MLB",1,IF($C4="3A",2,IF($C4="2A",3,IF(OR($C4="A+",$C4="高A"),4,IF($C4="1A",5,IF(OR($C4="RK",$C4="Rookie"),6,IF($C4="日職一軍",7,IF($C4="日職二軍",8,IF(OR($C4="韓職一軍",$C4="KBO"),9,IF($C4&lt;&gt;"",10,99))))))))))</f>
        <v>1</v>
      </c>
      <c r="L4" s="25" t="str">
        <f>IF(AND($D4="投手",LEFT($F4,3)="YES",OR($C4="MLB",$C4="3A",$C4="2A",$C4="日職一軍",$C4="韓職一軍",$C4="KBO")),COUNT($L$3:L3)+1,"")</f>
        <v/>
      </c>
      <c r="M4" s="25" t="str">
        <f>IF(AND($D4&lt;&gt;"投手",$D4&lt;&gt;"",LEFT($F4,3)="YES",OR($C4="MLB",$C4="3A",$C4="2A",$C4="日職一軍",$C4="韓職一軍",$C4="KBO")),COUNT($M$3:M3)+1,"")</f>
        <v/>
      </c>
      <c r="N4" s="69"/>
      <c r="O4" s="69"/>
      <c r="P4" s="69"/>
    </row>
    <row r="5" spans="1:26">
      <c r="A5" s="2" t="s">
        <v>34</v>
      </c>
      <c r="B5" s="2" t="str">
        <f>IFERROR(INDEX(總表!$B:$B,MATCH($A5,總表!$A:$A,0)),"")</f>
        <v>旅美</v>
      </c>
      <c r="C5" s="2" t="str">
        <f>IFERROR(INDEX(總表!$G:$G,MATCH($A5,總表!$A:$A,0)),"")</f>
        <v>3A</v>
      </c>
      <c r="D5" s="76" t="str">
        <f>IFERROR(INDEX(總表!$C:$C,MATCH($A5,總表!$A:$A,0)),"")</f>
        <v>投手</v>
      </c>
      <c r="E5" s="2" t="str">
        <f>IFERROR(INDEX(總表!$F:$F,MATCH($A5,總表!$A:$A,0)),"")</f>
        <v>亞利桑那響尾蛇</v>
      </c>
      <c r="F5" s="77" t="s">
        <v>35</v>
      </c>
      <c r="G5" s="1"/>
      <c r="H5" s="1" t="s">
        <v>36</v>
      </c>
      <c r="I5" s="75">
        <f t="shared" si="0"/>
        <v>2</v>
      </c>
      <c r="J5" s="75">
        <f t="array" ref="J5">IF($B5="旅美",1,IF($B5="旅日",2,IF($B5="旅韓",3,IF($B5="台裔",4,IF($B5&lt;&gt;"",5,99)))))</f>
        <v>1</v>
      </c>
      <c r="K5" s="1">
        <f t="array" ref="K5">IF($C5="MLB",1,IF($C5="3A",2,IF($C5="2A",3,IF(OR($C5="A+",$C5="高A"),4,IF($C5="1A",5,IF(OR($C5="RK",$C5="Rookie"),6,IF($C5="日職一軍",7,IF($C5="日職二軍",8,IF(OR($C5="韓職一軍",$C5="KBO"),9,IF($C5&lt;&gt;"",10,99))))))))))</f>
        <v>2</v>
      </c>
      <c r="L5" s="25">
        <f>IF(AND($D5="投手",LEFT($F5,3)="YES",OR($C5="MLB",$C5="3A",$C5="2A",$C5="日職一軍",$C5="韓職一軍",$C5="KBO")),COUNT($L$3:L4)+1,"")</f>
        <v>1</v>
      </c>
      <c r="M5" s="25" t="str">
        <f>IF(AND($D5&lt;&gt;"投手",$D5&lt;&gt;"",LEFT($F5,3)="YES",OR($C5="MLB",$C5="3A",$C5="2A",$C5="日職一軍",$C5="韓職一軍",$C5="KBO")),COUNT($M$3:M4)+1,"")</f>
        <v/>
      </c>
      <c r="N5" s="69"/>
      <c r="O5" s="69"/>
      <c r="P5" s="69"/>
    </row>
    <row r="6" spans="1:26">
      <c r="A6" s="2" t="s">
        <v>37</v>
      </c>
      <c r="B6" s="2" t="str">
        <f>IFERROR(INDEX(總表!$B:$B,MATCH($A6,總表!$A:$A,0)),"")</f>
        <v>旅美</v>
      </c>
      <c r="C6" s="2" t="str">
        <f>IFERROR(INDEX(總表!$G:$G,MATCH($A6,總表!$A:$A,0)),"")</f>
        <v>2A</v>
      </c>
      <c r="D6" s="76" t="str">
        <f>IFERROR(INDEX(總表!$C:$C,MATCH($A6,總表!$A:$A,0)),"")</f>
        <v>投手</v>
      </c>
      <c r="E6" s="2" t="str">
        <f>IFERROR(INDEX(總表!$F:$F,MATCH($A6,總表!$A:$A,0)),"")</f>
        <v>聖路易紅雀</v>
      </c>
      <c r="F6" s="77" t="s">
        <v>38</v>
      </c>
      <c r="G6" s="1"/>
      <c r="I6" s="75">
        <f t="shared" si="0"/>
        <v>2</v>
      </c>
      <c r="J6" s="75">
        <f t="array" ref="J6">IF($B6="旅美",1,IF($B6="旅日",2,IF($B6="旅韓",3,IF($B6="台裔",4,IF($B6&lt;&gt;"",5,99)))))</f>
        <v>1</v>
      </c>
      <c r="K6" s="1">
        <f t="array" ref="K6">IF($C6="MLB",1,IF($C6="3A",2,IF($C6="2A",3,IF(OR($C6="A+",$C6="高A"),4,IF($C6="1A",5,IF(OR($C6="RK",$C6="Rookie"),6,IF($C6="日職一軍",7,IF($C6="日職二軍",8,IF(OR($C6="韓職一軍",$C6="KBO"),9,IF($C6&lt;&gt;"",10,99))))))))))</f>
        <v>3</v>
      </c>
      <c r="L6" s="25" t="str">
        <f>IF(AND($D6="投手",LEFT($F6,3)="YES",OR($C6="MLB",$C6="3A",$C6="2A",$C6="日職一軍",$C6="韓職一軍",$C6="KBO")),COUNT($L$3:L5)+1,"")</f>
        <v/>
      </c>
      <c r="M6" s="25" t="str">
        <f>IF(AND($D6&lt;&gt;"投手",$D6&lt;&gt;"",LEFT($F6,3)="YES",OR($C6="MLB",$C6="3A",$C6="2A",$C6="日職一軍",$C6="韓職一軍",$C6="KBO")),COUNT($M$3:M5)+1,"")</f>
        <v/>
      </c>
      <c r="N6" s="69"/>
      <c r="O6" s="69"/>
      <c r="P6" s="69"/>
    </row>
    <row r="7" spans="1:26">
      <c r="A7" s="2" t="s">
        <v>39</v>
      </c>
      <c r="B7" s="2" t="str">
        <f>IFERROR(INDEX(總表!$B:$B,MATCH($A7,總表!$A:$A,0)),"")</f>
        <v>旅美</v>
      </c>
      <c r="C7" s="2" t="str">
        <f>IFERROR(INDEX(總表!$G:$G,MATCH($A7,總表!$A:$A,0)),"")</f>
        <v>2A</v>
      </c>
      <c r="D7" s="76" t="str">
        <f>IFERROR(INDEX(總表!$C:$C,MATCH($A7,總表!$A:$A,0)),"")</f>
        <v>投手</v>
      </c>
      <c r="E7" s="2" t="str">
        <f>IFERROR(INDEX(總表!$F:$F,MATCH($A7,總表!$A:$A,0)),"")</f>
        <v>奧克蘭運動家</v>
      </c>
      <c r="F7" s="77" t="s">
        <v>38</v>
      </c>
      <c r="G7" s="1"/>
      <c r="H7" s="1"/>
      <c r="I7" s="75">
        <f t="shared" si="0"/>
        <v>2</v>
      </c>
      <c r="J7" s="75">
        <f t="array" ref="J7">IF($B7="旅美",1,IF($B7="旅日",2,IF($B7="旅韓",3,IF($B7="台裔",4,IF($B7&lt;&gt;"",5,99)))))</f>
        <v>1</v>
      </c>
      <c r="K7" s="1">
        <f t="array" ref="K7">IF($C7="MLB",1,IF($C7="3A",2,IF($C7="2A",3,IF(OR($C7="A+",$C7="高A"),4,IF($C7="1A",5,IF(OR($C7="RK",$C7="Rookie"),6,IF($C7="日職一軍",7,IF($C7="日職二軍",8,IF(OR($C7="韓職一軍",$C7="KBO"),9,IF($C7&lt;&gt;"",10,99))))))))))</f>
        <v>3</v>
      </c>
      <c r="L7" s="25" t="str">
        <f>IF(AND($D7="投手",LEFT($F7,3)="YES",OR($C7="MLB",$C7="3A",$C7="2A",$C7="日職一軍",$C7="韓職一軍",$C7="KBO")),COUNT($L$3:L6)+1,"")</f>
        <v/>
      </c>
      <c r="M7" s="25" t="str">
        <f>IF(AND($D7&lt;&gt;"投手",$D7&lt;&gt;"",LEFT($F7,3)="YES",OR($C7="MLB",$C7="3A",$C7="2A",$C7="日職一軍",$C7="韓職一軍",$C7="KBO")),COUNT($M$3:M6)+1,"")</f>
        <v/>
      </c>
      <c r="N7" s="69"/>
      <c r="O7" s="69"/>
      <c r="P7" s="69"/>
    </row>
    <row r="8" spans="1:26">
      <c r="A8" s="2" t="s">
        <v>40</v>
      </c>
      <c r="B8" s="2" t="str">
        <f>IFERROR(INDEX(總表!$B:$B,MATCH($A8,總表!$A:$A,0)),"")</f>
        <v>旅美</v>
      </c>
      <c r="C8" s="2" t="str">
        <f>IFERROR(INDEX(總表!$G:$G,MATCH($A8,總表!$A:$A,0)),"")</f>
        <v>2A</v>
      </c>
      <c r="D8" s="76" t="str">
        <f>IFERROR(INDEX(總表!$C:$C,MATCH($A8,總表!$A:$A,0)),"")</f>
        <v>投手</v>
      </c>
      <c r="E8" s="2" t="str">
        <f>IFERROR(INDEX(總表!$F:$F,MATCH($A8,總表!$A:$A,0)),"")</f>
        <v>奧克蘭運動家</v>
      </c>
      <c r="F8" s="77" t="s">
        <v>41</v>
      </c>
      <c r="G8" s="1"/>
      <c r="H8" s="1"/>
      <c r="I8" s="75">
        <f t="shared" si="0"/>
        <v>2</v>
      </c>
      <c r="J8" s="75">
        <f t="array" ref="J8">IF($B8="旅美",1,IF($B8="旅日",2,IF($B8="旅韓",3,IF($B8="台裔",4,IF($B8&lt;&gt;"",5,99)))))</f>
        <v>1</v>
      </c>
      <c r="K8" s="1">
        <f t="array" ref="K8">IF($C8="MLB",1,IF($C8="3A",2,IF($C8="2A",3,IF(OR($C8="A+",$C8="高A"),4,IF($C8="1A",5,IF(OR($C8="RK",$C8="Rookie"),6,IF($C8="日職一軍",7,IF($C8="日職二軍",8,IF(OR($C8="韓職一軍",$C8="KBO"),9,IF($C8&lt;&gt;"",10,99))))))))))</f>
        <v>3</v>
      </c>
      <c r="L8" s="25" t="str">
        <f>IF(AND($D8="投手",LEFT($F8,3)="YES",OR($C8="MLB",$C8="3A",$C8="2A",$C8="日職一軍",$C8="韓職一軍",$C8="KBO")),COUNT($L$3:L7)+1,"")</f>
        <v/>
      </c>
      <c r="M8" s="25" t="str">
        <f>IF(AND($D8&lt;&gt;"投手",$D8&lt;&gt;"",LEFT($F8,3)="YES",OR($C8="MLB",$C8="3A",$C8="2A",$C8="日職一軍",$C8="韓職一軍",$C8="KBO")),COUNT($M$3:M7)+1,"")</f>
        <v/>
      </c>
      <c r="N8" s="69"/>
      <c r="O8" s="69"/>
      <c r="P8" s="69"/>
    </row>
    <row r="9" spans="1:26">
      <c r="A9" s="2" t="s">
        <v>42</v>
      </c>
      <c r="B9" s="2" t="str">
        <f>IFERROR(INDEX(總表!$B:$B,MATCH($A9,總表!$A:$A,0)),"")</f>
        <v>旅美</v>
      </c>
      <c r="C9" s="2" t="str">
        <f>IFERROR(INDEX(總表!$G:$G,MATCH($A9,總表!$A:$A,0)),"")</f>
        <v>2A</v>
      </c>
      <c r="D9" s="76" t="str">
        <f>IFERROR(INDEX(總表!$C:$C,MATCH($A9,總表!$A:$A,0)),"")</f>
        <v>投手</v>
      </c>
      <c r="E9" s="2" t="str">
        <f>IFERROR(INDEX(總表!$F:$F,MATCH($A9,總表!$A:$A,0)),"")</f>
        <v>匹茲堡海盜</v>
      </c>
      <c r="F9" s="77" t="s">
        <v>35</v>
      </c>
      <c r="G9" s="1"/>
      <c r="H9" s="1" t="s">
        <v>43</v>
      </c>
      <c r="I9" s="75">
        <f t="shared" si="0"/>
        <v>2</v>
      </c>
      <c r="J9" s="75">
        <f t="array" ref="J9">IF($B9="旅美",1,IF($B9="旅日",2,IF($B9="旅韓",3,IF($B9="台裔",4,IF($B9&lt;&gt;"",5,99)))))</f>
        <v>1</v>
      </c>
      <c r="K9" s="1">
        <f t="array" ref="K9">IF($C9="MLB",1,IF($C9="3A",2,IF($C9="2A",3,IF(OR($C9="A+",$C9="高A"),4,IF($C9="1A",5,IF(OR($C9="RK",$C9="Rookie"),6,IF($C9="日職一軍",7,IF($C9="日職二軍",8,IF(OR($C9="韓職一軍",$C9="KBO"),9,IF($C9&lt;&gt;"",10,99))))))))))</f>
        <v>3</v>
      </c>
      <c r="L9" s="25">
        <f>IF(AND($D9="投手",LEFT($F9,3)="YES",OR($C9="MLB",$C9="3A",$C9="2A",$C9="日職一軍",$C9="韓職一軍",$C9="KBO")),COUNT($L$3:L8)+1,"")</f>
        <v>2</v>
      </c>
      <c r="M9" s="25" t="str">
        <f>IF(AND($D9&lt;&gt;"投手",$D9&lt;&gt;"",LEFT($F9,3)="YES",OR($C9="MLB",$C9="3A",$C9="2A",$C9="日職一軍",$C9="韓職一軍",$C9="KBO")),COUNT($M$3:M8)+1,"")</f>
        <v/>
      </c>
      <c r="N9" s="69"/>
      <c r="O9" s="69"/>
      <c r="P9" s="69"/>
    </row>
    <row r="10" spans="1:26">
      <c r="A10" s="2" t="s">
        <v>44</v>
      </c>
      <c r="B10" s="2" t="str">
        <f>IFERROR(INDEX(總表!$B:$B,MATCH($A10,總表!$A:$A,0)),"")</f>
        <v>旅美</v>
      </c>
      <c r="C10" s="2" t="str">
        <f>IFERROR(INDEX(總表!$G:$G,MATCH($A10,總表!$A:$A,0)),"")</f>
        <v>2A</v>
      </c>
      <c r="D10" s="76" t="str">
        <f>IFERROR(INDEX(總表!$C:$C,MATCH($A10,總表!$A:$A,0)),"")</f>
        <v>投手</v>
      </c>
      <c r="E10" s="2" t="str">
        <f>IFERROR(INDEX(總表!$F:$F,MATCH($A10,總表!$A:$A,0)),"")</f>
        <v>波士頓紅襪</v>
      </c>
      <c r="F10" s="77" t="s">
        <v>45</v>
      </c>
      <c r="G10" s="1"/>
      <c r="H10" s="1"/>
      <c r="I10" s="75">
        <f t="shared" si="0"/>
        <v>2</v>
      </c>
      <c r="J10" s="75">
        <f t="array" ref="J10">IF($B10="旅美",1,IF($B10="旅日",2,IF($B10="旅韓",3,IF($B10="台裔",4,IF($B10&lt;&gt;"",5,99)))))</f>
        <v>1</v>
      </c>
      <c r="K10" s="1">
        <f t="array" ref="K10">IF($C10="MLB",1,IF($C10="3A",2,IF($C10="2A",3,IF(OR($C10="A+",$C10="高A"),4,IF($C10="1A",5,IF(OR($C10="RK",$C10="Rookie"),6,IF($C10="日職一軍",7,IF($C10="日職二軍",8,IF(OR($C10="韓職一軍",$C10="KBO"),9,IF($C10&lt;&gt;"",10,99))))))))))</f>
        <v>3</v>
      </c>
      <c r="L10" s="25" t="str">
        <f>IF(AND($D10="投手",LEFT($F10,3)="YES",OR($C10="MLB",$C10="3A",$C10="2A",$C10="日職一軍",$C10="韓職一軍",$C10="KBO")),COUNT($L$3:L9)+1,"")</f>
        <v/>
      </c>
      <c r="M10" s="25" t="str">
        <f>IF(AND($D10&lt;&gt;"投手",$D10&lt;&gt;"",LEFT($F10,3)="YES",OR($C10="MLB",$C10="3A",$C10="2A",$C10="日職一軍",$C10="韓職一軍",$C10="KBO")),COUNT($M$3:M9)+1,"")</f>
        <v/>
      </c>
      <c r="N10" s="69"/>
      <c r="O10" s="69"/>
      <c r="P10" s="69"/>
    </row>
    <row r="11" spans="1:26">
      <c r="A11" s="2" t="s">
        <v>46</v>
      </c>
      <c r="B11" s="2" t="str">
        <f>IFERROR(INDEX(總表!$B:$B,MATCH($A11,總表!$A:$A,0)),"")</f>
        <v>旅美</v>
      </c>
      <c r="C11" s="2" t="str">
        <f>IFERROR(INDEX(總表!$G:$G,MATCH($A11,總表!$A:$A,0)),"")</f>
        <v>A+</v>
      </c>
      <c r="D11" s="76" t="str">
        <f>IFERROR(INDEX(總表!$C:$C,MATCH($A11,總表!$A:$A,0)),"")</f>
        <v>投手</v>
      </c>
      <c r="E11" s="2" t="str">
        <f>IFERROR(INDEX(總表!$F:$F,MATCH($A11,總表!$A:$A,0)),"")</f>
        <v>奧克蘭運動家</v>
      </c>
      <c r="F11" s="77" t="s">
        <v>47</v>
      </c>
      <c r="G11" s="1"/>
      <c r="H11" s="1"/>
      <c r="I11" s="75">
        <f t="shared" si="0"/>
        <v>2</v>
      </c>
      <c r="J11" s="75">
        <f t="array" ref="J11">IF($B11="旅美",1,IF($B11="旅日",2,IF($B11="旅韓",3,IF($B11="台裔",4,IF($B11&lt;&gt;"",5,99)))))</f>
        <v>1</v>
      </c>
      <c r="K11" s="1">
        <f t="array" ref="K11">IF($C11="MLB",1,IF($C11="3A",2,IF($C11="2A",3,IF(OR($C11="A+",$C11="高A"),4,IF($C11="1A",5,IF(OR($C11="RK",$C11="Rookie"),6,IF($C11="日職一軍",7,IF($C11="日職二軍",8,IF(OR($C11="韓職一軍",$C11="KBO"),9,IF($C11&lt;&gt;"",10,99))))))))))</f>
        <v>4</v>
      </c>
      <c r="L11" s="25" t="str">
        <f>IF(AND($D11="投手",LEFT($F11,3)="YES",OR($C11="MLB",$C11="3A",$C11="2A",$C11="日職一軍",$C11="韓職一軍",$C11="KBO")),COUNT($L$3:L10)+1,"")</f>
        <v/>
      </c>
      <c r="M11" s="25" t="str">
        <f>IF(AND($D11&lt;&gt;"投手",$D11&lt;&gt;"",LEFT($F11,3)="YES",OR($C11="MLB",$C11="3A",$C11="2A",$C11="日職一軍",$C11="韓職一軍",$C11="KBO")),COUNT($M$3:M10)+1,"")</f>
        <v/>
      </c>
      <c r="N11" s="69"/>
      <c r="O11" s="69"/>
      <c r="P11" s="69"/>
    </row>
    <row r="12" spans="1:26">
      <c r="A12" s="2" t="s">
        <v>48</v>
      </c>
      <c r="B12" s="2" t="str">
        <f>IFERROR(INDEX(總表!$B:$B,MATCH($A12,總表!$A:$A,0)),"")</f>
        <v>旅美</v>
      </c>
      <c r="C12" s="2" t="str">
        <f>IFERROR(INDEX(總表!$G:$G,MATCH($A12,總表!$A:$A,0)),"")</f>
        <v>A+</v>
      </c>
      <c r="D12" s="76" t="str">
        <f>IFERROR(INDEX(總表!$C:$C,MATCH($A12,總表!$A:$A,0)),"")</f>
        <v>投手</v>
      </c>
      <c r="E12" s="2" t="str">
        <f>IFERROR(INDEX(總表!$F:$F,MATCH($A12,總表!$A:$A,0)),"")</f>
        <v>匹茲堡海盜</v>
      </c>
      <c r="F12" s="77" t="s">
        <v>35</v>
      </c>
      <c r="G12" s="1"/>
      <c r="H12" s="1" t="s">
        <v>49</v>
      </c>
      <c r="I12" s="75">
        <f t="shared" si="0"/>
        <v>2</v>
      </c>
      <c r="J12" s="75">
        <f t="array" ref="J12">IF($B12="旅美",1,IF($B12="旅日",2,IF($B12="旅韓",3,IF($B12="台裔",4,IF($B12&lt;&gt;"",5,99)))))</f>
        <v>1</v>
      </c>
      <c r="K12" s="1">
        <f t="array" ref="K12">IF($C12="MLB",1,IF($C12="3A",2,IF($C12="2A",3,IF(OR($C12="A+",$C12="高A"),4,IF($C12="1A",5,IF(OR($C12="RK",$C12="Rookie"),6,IF($C12="日職一軍",7,IF($C12="日職二軍",8,IF(OR($C12="韓職一軍",$C12="KBO"),9,IF($C12&lt;&gt;"",10,99))))))))))</f>
        <v>4</v>
      </c>
      <c r="L12" s="25" t="str">
        <f>IF(AND($D12="投手",LEFT($F12,3)="YES",OR($C12="MLB",$C12="3A",$C12="2A",$C12="日職一軍",$C12="韓職一軍",$C12="KBO")),COUNT($L$3:L11)+1,"")</f>
        <v/>
      </c>
      <c r="M12" s="25" t="str">
        <f>IF(AND($D12&lt;&gt;"投手",$D12&lt;&gt;"",LEFT($F12,3)="YES",OR($C12="MLB",$C12="3A",$C12="2A",$C12="日職一軍",$C12="韓職一軍",$C12="KBO")),COUNT($M$3:M11)+1,"")</f>
        <v/>
      </c>
      <c r="N12" s="69"/>
      <c r="O12" s="69"/>
      <c r="P12" s="69"/>
    </row>
    <row r="13" spans="1:26">
      <c r="A13" s="2" t="s">
        <v>50</v>
      </c>
      <c r="B13" s="2" t="str">
        <f>IFERROR(INDEX(總表!$B:$B,MATCH($A13,總表!$A:$A,0)),"")</f>
        <v>旅美</v>
      </c>
      <c r="C13" s="2" t="str">
        <f>IFERROR(INDEX(總表!$G:$G,MATCH($A13,總表!$A:$A,0)),"")</f>
        <v>1A</v>
      </c>
      <c r="D13" s="76" t="str">
        <f>IFERROR(INDEX(總表!$C:$C,MATCH($A13,總表!$A:$A,0)),"")</f>
        <v>投手</v>
      </c>
      <c r="E13" s="2" t="str">
        <f>IFERROR(INDEX(總表!$F:$F,MATCH($A13,總表!$A:$A,0)),"")</f>
        <v>西雅圖水手</v>
      </c>
      <c r="F13" s="77" t="s">
        <v>45</v>
      </c>
      <c r="G13" s="1"/>
      <c r="I13" s="75">
        <f t="shared" si="0"/>
        <v>2</v>
      </c>
      <c r="J13" s="75">
        <f t="array" ref="J13">IF($B13="旅美",1,IF($B13="旅日",2,IF($B13="旅韓",3,IF($B13="台裔",4,IF($B13&lt;&gt;"",5,99)))))</f>
        <v>1</v>
      </c>
      <c r="K13" s="1">
        <f t="array" ref="K13">IF($C13="MLB",1,IF($C13="3A",2,IF($C13="2A",3,IF(OR($C13="A+",$C13="高A"),4,IF($C13="1A",5,IF(OR($C13="RK",$C13="Rookie"),6,IF($C13="日職一軍",7,IF($C13="日職二軍",8,IF(OR($C13="韓職一軍",$C13="KBO"),9,IF($C13&lt;&gt;"",10,99))))))))))</f>
        <v>5</v>
      </c>
      <c r="L13" s="25" t="str">
        <f>IF(AND($D13="投手",LEFT($F13,3)="YES",OR($C13="MLB",$C13="3A",$C13="2A",$C13="日職一軍",$C13="韓職一軍",$C13="KBO")),COUNT($L$3:L12)+1,"")</f>
        <v/>
      </c>
      <c r="M13" s="25" t="str">
        <f>IF(AND($D13&lt;&gt;"投手",$D13&lt;&gt;"",LEFT($F13,3)="YES",OR($C13="MLB",$C13="3A",$C13="2A",$C13="日職一軍",$C13="韓職一軍",$C13="KBO")),COUNT($M$3:M12)+1,"")</f>
        <v/>
      </c>
      <c r="N13" s="69"/>
      <c r="O13" s="69"/>
      <c r="P13" s="69"/>
    </row>
    <row r="14" spans="1:26">
      <c r="A14" s="2" t="s">
        <v>51</v>
      </c>
      <c r="B14" s="2" t="str">
        <f>IFERROR(INDEX(總表!$B:$B,MATCH($A14,總表!$A:$A,0)),"")</f>
        <v>旅美</v>
      </c>
      <c r="C14" s="2" t="str">
        <f>IFERROR(INDEX(總表!$G:$G,MATCH($A14,總表!$A:$A,0)),"")</f>
        <v>1A</v>
      </c>
      <c r="D14" s="76" t="str">
        <f>IFERROR(INDEX(總表!$C:$C,MATCH($A14,總表!$A:$A,0)),"")</f>
        <v>投手</v>
      </c>
      <c r="E14" s="2" t="str">
        <f>IFERROR(INDEX(總表!$F:$F,MATCH($A14,總表!$A:$A,0)),"")</f>
        <v>辛辛那提紅人</v>
      </c>
      <c r="F14" s="77" t="s">
        <v>41</v>
      </c>
      <c r="G14" s="1"/>
      <c r="H14" s="1"/>
      <c r="I14" s="75">
        <f t="shared" si="0"/>
        <v>2</v>
      </c>
      <c r="J14" s="75">
        <f t="array" ref="J14">IF($B14="旅美",1,IF($B14="旅日",2,IF($B14="旅韓",3,IF($B14="台裔",4,IF($B14&lt;&gt;"",5,99)))))</f>
        <v>1</v>
      </c>
      <c r="K14" s="1">
        <f t="array" ref="K14">IF($C14="MLB",1,IF($C14="3A",2,IF($C14="2A",3,IF(OR($C14="A+",$C14="高A"),4,IF($C14="1A",5,IF(OR($C14="RK",$C14="Rookie"),6,IF($C14="日職一軍",7,IF($C14="日職二軍",8,IF(OR($C14="韓職一軍",$C14="KBO"),9,IF($C14&lt;&gt;"",10,99))))))))))</f>
        <v>5</v>
      </c>
      <c r="L14" s="25" t="str">
        <f>IF(AND($D14="投手",LEFT($F14,3)="YES",OR($C14="MLB",$C14="3A",$C14="2A",$C14="日職一軍",$C14="韓職一軍",$C14="KBO")),COUNT($L$3:L13)+1,"")</f>
        <v/>
      </c>
      <c r="M14" s="25" t="str">
        <f>IF(AND($D14&lt;&gt;"投手",$D14&lt;&gt;"",LEFT($F14,3)="YES",OR($C14="MLB",$C14="3A",$C14="2A",$C14="日職一軍",$C14="韓職一軍",$C14="KBO")),COUNT($M$3:M13)+1,"")</f>
        <v/>
      </c>
      <c r="N14" s="69"/>
      <c r="O14" s="69"/>
      <c r="P14" s="69"/>
    </row>
    <row r="15" spans="1:26">
      <c r="A15" s="2" t="s">
        <v>52</v>
      </c>
      <c r="B15" s="2" t="str">
        <f>IFERROR(INDEX(總表!$B:$B,MATCH($A15,總表!$A:$A,0)),"")</f>
        <v>旅美</v>
      </c>
      <c r="C15" s="2" t="str">
        <f>IFERROR(INDEX(總表!$G:$G,MATCH($A15,總表!$A:$A,0)),"")</f>
        <v>1A</v>
      </c>
      <c r="D15" s="76" t="str">
        <f>IFERROR(INDEX(總表!$C:$C,MATCH($A15,總表!$A:$A,0)),"")</f>
        <v>投手</v>
      </c>
      <c r="E15" s="2" t="str">
        <f>IFERROR(INDEX(總表!$F:$F,MATCH($A15,總表!$A:$A,0)),"")</f>
        <v>亞利桑那響尾蛇</v>
      </c>
      <c r="F15" s="77" t="s">
        <v>38</v>
      </c>
      <c r="G15" s="1"/>
      <c r="H15" s="1"/>
      <c r="I15" s="75">
        <f t="shared" si="0"/>
        <v>2</v>
      </c>
      <c r="J15" s="75">
        <f t="array" ref="J15">IF($B15="旅美",1,IF($B15="旅日",2,IF($B15="旅韓",3,IF($B15="台裔",4,IF($B15&lt;&gt;"",5,99)))))</f>
        <v>1</v>
      </c>
      <c r="K15" s="1">
        <f t="array" ref="K15">IF($C15="MLB",1,IF($C15="3A",2,IF($C15="2A",3,IF(OR($C15="A+",$C15="高A"),4,IF($C15="1A",5,IF(OR($C15="RK",$C15="Rookie"),6,IF($C15="日職一軍",7,IF($C15="日職二軍",8,IF(OR($C15="韓職一軍",$C15="KBO"),9,IF($C15&lt;&gt;"",10,99))))))))))</f>
        <v>5</v>
      </c>
      <c r="L15" s="25" t="str">
        <f>IF(AND($D15="投手",LEFT($F15,3)="YES",OR($C15="MLB",$C15="3A",$C15="2A",$C15="日職一軍",$C15="韓職一軍",$C15="KBO")),COUNT($L$3:L14)+1,"")</f>
        <v/>
      </c>
      <c r="M15" s="25" t="str">
        <f>IF(AND($D15&lt;&gt;"投手",$D15&lt;&gt;"",LEFT($F15,3)="YES",OR($C15="MLB",$C15="3A",$C15="2A",$C15="日職一軍",$C15="韓職一軍",$C15="KBO")),COUNT($M$3:M14)+1,"")</f>
        <v/>
      </c>
      <c r="N15" s="69"/>
      <c r="O15" s="69"/>
      <c r="P15" s="69"/>
    </row>
    <row r="16" spans="1:26">
      <c r="A16" s="2" t="s">
        <v>53</v>
      </c>
      <c r="B16" s="2" t="str">
        <f>IFERROR(INDEX(總表!$B:$B,MATCH($A16,總表!$A:$A,0)),"")</f>
        <v>旅美</v>
      </c>
      <c r="C16" s="2" t="str">
        <f>IFERROR(INDEX(總表!$G:$G,MATCH($A16,總表!$A:$A,0)),"")</f>
        <v>1A</v>
      </c>
      <c r="D16" s="76" t="str">
        <f>IFERROR(INDEX(總表!$C:$C,MATCH($A16,總表!$A:$A,0)),"")</f>
        <v>投手</v>
      </c>
      <c r="E16" s="2" t="str">
        <f>IFERROR(INDEX(總表!$F:$F,MATCH($A16,總表!$A:$A,0)),"")</f>
        <v>費城費城人</v>
      </c>
      <c r="F16" s="77" t="s">
        <v>54</v>
      </c>
      <c r="G16" s="1"/>
      <c r="H16" s="1"/>
      <c r="I16" s="75">
        <f t="shared" si="0"/>
        <v>2</v>
      </c>
      <c r="J16" s="75">
        <f t="array" ref="J16">IF($B16="旅美",1,IF($B16="旅日",2,IF($B16="旅韓",3,IF($B16="台裔",4,IF($B16&lt;&gt;"",5,99)))))</f>
        <v>1</v>
      </c>
      <c r="K16" s="1">
        <f t="array" ref="K16">IF($C16="MLB",1,IF($C16="3A",2,IF($C16="2A",3,IF(OR($C16="A+",$C16="高A"),4,IF($C16="1A",5,IF(OR($C16="RK",$C16="Rookie"),6,IF($C16="日職一軍",7,IF($C16="日職二軍",8,IF(OR($C16="韓職一軍",$C16="KBO"),9,IF($C16&lt;&gt;"",10,99))))))))))</f>
        <v>5</v>
      </c>
      <c r="L16" s="25" t="str">
        <f>IF(AND($D16="投手",LEFT($F16,3)="YES",OR($C16="MLB",$C16="3A",$C16="2A",$C16="日職一軍",$C16="韓職一軍",$C16="KBO")),COUNT($L$3:L15)+1,"")</f>
        <v/>
      </c>
      <c r="M16" s="25" t="str">
        <f>IF(AND($D16&lt;&gt;"投手",$D16&lt;&gt;"",LEFT($F16,3)="YES",OR($C16="MLB",$C16="3A",$C16="2A",$C16="日職一軍",$C16="韓職一軍",$C16="KBO")),COUNT($M$3:M15)+1,"")</f>
        <v/>
      </c>
      <c r="N16" s="69"/>
      <c r="O16" s="69"/>
      <c r="P16" s="69"/>
    </row>
    <row r="17" spans="1:16">
      <c r="A17" s="2" t="s">
        <v>55</v>
      </c>
      <c r="B17" s="2" t="str">
        <f>IFERROR(INDEX(總表!$B:$B,MATCH($A17,總表!$A:$A,0)),"")</f>
        <v>旅美</v>
      </c>
      <c r="C17" s="2" t="str">
        <f>IFERROR(INDEX(總表!$G:$G,MATCH($A17,總表!$A:$A,0)),"")</f>
        <v>RK</v>
      </c>
      <c r="D17" s="76" t="str">
        <f>IFERROR(INDEX(總表!$C:$C,MATCH($A17,總表!$A:$A,0)),"")</f>
        <v>投手</v>
      </c>
      <c r="E17" s="2" t="str">
        <f>IFERROR(INDEX(總表!$F:$F,MATCH($A17,總表!$A:$A,0)),"")</f>
        <v>舊金山巨人</v>
      </c>
      <c r="F17" s="77" t="s">
        <v>56</v>
      </c>
      <c r="G17" s="1"/>
      <c r="H17" s="1"/>
      <c r="I17" s="75">
        <f t="shared" si="0"/>
        <v>2</v>
      </c>
      <c r="J17" s="75">
        <f t="array" ref="J17">IF($B17="旅美",1,IF($B17="旅日",2,IF($B17="旅韓",3,IF($B17="台裔",4,IF($B17&lt;&gt;"",5,99)))))</f>
        <v>1</v>
      </c>
      <c r="K17" s="1">
        <f t="array" ref="K17">IF($C17="MLB",1,IF($C17="3A",2,IF($C17="2A",3,IF(OR($C17="A+",$C17="高A"),4,IF($C17="1A",5,IF(OR($C17="RK",$C17="Rookie"),6,IF($C17="日職一軍",7,IF($C17="日職二軍",8,IF(OR($C17="韓職一軍",$C17="KBO"),9,IF($C17&lt;&gt;"",10,99))))))))))</f>
        <v>6</v>
      </c>
      <c r="L17" s="25" t="str">
        <f>IF(AND($D17="投手",LEFT($F17,3)="YES",OR($C17="MLB",$C17="3A",$C17="2A",$C17="日職一軍",$C17="韓職一軍",$C17="KBO")),COUNT($L$3:L16)+1,"")</f>
        <v/>
      </c>
      <c r="M17" s="25" t="str">
        <f>IF(AND($D17&lt;&gt;"投手",$D17&lt;&gt;"",LEFT($F17,3)="YES",OR($C17="MLB",$C17="3A",$C17="2A",$C17="日職一軍",$C17="韓職一軍",$C17="KBO")),COUNT($M$3:M16)+1,"")</f>
        <v/>
      </c>
      <c r="N17" s="69"/>
      <c r="O17" s="69"/>
      <c r="P17" s="69"/>
    </row>
    <row r="18" spans="1:16">
      <c r="A18" s="2" t="s">
        <v>57</v>
      </c>
      <c r="B18" s="2" t="str">
        <f>IFERROR(INDEX(總表!$B:$B,MATCH($A18,總表!$A:$A,0)),"")</f>
        <v>旅美</v>
      </c>
      <c r="C18" s="2" t="str">
        <f>IFERROR(INDEX(總表!$G:$G,MATCH($A18,總表!$A:$A,0)),"")</f>
        <v>RK</v>
      </c>
      <c r="D18" s="76" t="str">
        <f>IFERROR(INDEX(總表!$C:$C,MATCH($A18,總表!$A:$A,0)),"")</f>
        <v>投手</v>
      </c>
      <c r="E18" s="2" t="str">
        <f>IFERROR(INDEX(總表!$F:$F,MATCH($A18,總表!$A:$A,0)),"")</f>
        <v>密爾瓦基釀酒人</v>
      </c>
      <c r="F18" s="77" t="s">
        <v>56</v>
      </c>
      <c r="G18" s="1"/>
      <c r="H18" s="1"/>
      <c r="I18" s="75">
        <f t="shared" si="0"/>
        <v>2</v>
      </c>
      <c r="J18" s="75">
        <f t="array" ref="J18">IF($B18="旅美",1,IF($B18="旅日",2,IF($B18="旅韓",3,IF($B18="台裔",4,IF($B18&lt;&gt;"",5,99)))))</f>
        <v>1</v>
      </c>
      <c r="K18" s="1">
        <f t="array" ref="K18">IF($C18="MLB",1,IF($C18="3A",2,IF($C18="2A",3,IF(OR($C18="A+",$C18="高A"),4,IF($C18="1A",5,IF(OR($C18="RK",$C18="Rookie"),6,IF($C18="日職一軍",7,IF($C18="日職二軍",8,IF(OR($C18="韓職一軍",$C18="KBO"),9,IF($C18&lt;&gt;"",10,99))))))))))</f>
        <v>6</v>
      </c>
      <c r="L18" s="25" t="str">
        <f>IF(AND($D18="投手",LEFT($F18,3)="YES",OR($C18="MLB",$C18="3A",$C18="2A",$C18="日職一軍",$C18="韓職一軍",$C18="KBO")),COUNT($L$3:L17)+1,"")</f>
        <v/>
      </c>
      <c r="M18" s="25" t="str">
        <f>IF(AND($D18&lt;&gt;"投手",$D18&lt;&gt;"",LEFT($F18,3)="YES",OR($C18="MLB",$C18="3A",$C18="2A",$C18="日職一軍",$C18="韓職一軍",$C18="KBO")),COUNT($M$3:M17)+1,"")</f>
        <v/>
      </c>
      <c r="N18" s="69"/>
      <c r="O18" s="69"/>
      <c r="P18" s="69"/>
    </row>
    <row r="19" spans="1:16">
      <c r="A19" s="2" t="s">
        <v>58</v>
      </c>
      <c r="B19" s="2" t="str">
        <f>IFERROR(INDEX(總表!$B:$B,MATCH($A19,總表!$A:$A,0)),"")</f>
        <v>旅美</v>
      </c>
      <c r="C19" s="2" t="str">
        <f>IFERROR(INDEX(總表!$G:$G,MATCH($A19,總表!$A:$A,0)),"")</f>
        <v>RK</v>
      </c>
      <c r="D19" s="76" t="str">
        <f>IFERROR(INDEX(總表!$C:$C,MATCH($A19,總表!$A:$A,0)),"")</f>
        <v>投手</v>
      </c>
      <c r="E19" s="2" t="str">
        <f>IFERROR(INDEX(總表!$F:$F,MATCH($A19,總表!$A:$A,0)),"")</f>
        <v>西雅圖水手</v>
      </c>
      <c r="F19" s="77" t="s">
        <v>56</v>
      </c>
      <c r="G19" s="1"/>
      <c r="H19" s="1"/>
      <c r="I19" s="75">
        <f t="shared" si="0"/>
        <v>2</v>
      </c>
      <c r="J19" s="75">
        <f t="array" ref="J19">IF($B19="旅美",1,IF($B19="旅日",2,IF($B19="旅韓",3,IF($B19="台裔",4,IF($B19&lt;&gt;"",5,99)))))</f>
        <v>1</v>
      </c>
      <c r="K19" s="1">
        <f t="array" ref="K19">IF($C19="MLB",1,IF($C19="3A",2,IF($C19="2A",3,IF(OR($C19="A+",$C19="高A"),4,IF($C19="1A",5,IF(OR($C19="RK",$C19="Rookie"),6,IF($C19="日職一軍",7,IF($C19="日職二軍",8,IF(OR($C19="韓職一軍",$C19="KBO"),9,IF($C19&lt;&gt;"",10,99))))))))))</f>
        <v>6</v>
      </c>
      <c r="L19" s="25" t="str">
        <f>IF(AND($D19="投手",LEFT($F19,3)="YES",OR($C19="MLB",$C19="3A",$C19="2A",$C19="日職一軍",$C19="韓職一軍",$C19="KBO")),COUNT($L$3:L18)+1,"")</f>
        <v/>
      </c>
      <c r="M19" s="25" t="str">
        <f>IF(AND($D19&lt;&gt;"投手",$D19&lt;&gt;"",LEFT($F19,3)="YES",OR($C19="MLB",$C19="3A",$C19="2A",$C19="日職一軍",$C19="韓職一軍",$C19="KBO")),COUNT($M$3:M18)+1,"")</f>
        <v/>
      </c>
      <c r="N19" s="69"/>
      <c r="O19" s="69"/>
      <c r="P19" s="69"/>
    </row>
    <row r="20" spans="1:16">
      <c r="A20" s="2" t="s">
        <v>59</v>
      </c>
      <c r="B20" s="2" t="str">
        <f>IFERROR(INDEX(總表!$B:$B,MATCH($A20,總表!$A:$A,0)),"")</f>
        <v>旅美</v>
      </c>
      <c r="C20" s="2" t="str">
        <f>IFERROR(INDEX(總表!$G:$G,MATCH($A20,總表!$A:$A,0)),"")</f>
        <v>RK</v>
      </c>
      <c r="D20" s="76" t="str">
        <f>IFERROR(INDEX(總表!$C:$C,MATCH($A20,總表!$A:$A,0)),"")</f>
        <v>投手</v>
      </c>
      <c r="E20" s="2" t="str">
        <f>IFERROR(INDEX(總表!$F:$F,MATCH($A20,總表!$A:$A,0)),"")</f>
        <v>舊金山巨人</v>
      </c>
      <c r="F20" s="77" t="s">
        <v>56</v>
      </c>
      <c r="G20" s="1"/>
      <c r="H20" s="1"/>
      <c r="I20" s="75">
        <f t="shared" si="0"/>
        <v>2</v>
      </c>
      <c r="J20" s="75">
        <f t="array" ref="J20">IF($B20="旅美",1,IF($B20="旅日",2,IF($B20="旅韓",3,IF($B20="台裔",4,IF($B20&lt;&gt;"",5,99)))))</f>
        <v>1</v>
      </c>
      <c r="K20" s="1">
        <f t="array" ref="K20">IF($C20="MLB",1,IF($C20="3A",2,IF($C20="2A",3,IF(OR($C20="A+",$C20="高A"),4,IF($C20="1A",5,IF(OR($C20="RK",$C20="Rookie"),6,IF($C20="日職一軍",7,IF($C20="日職二軍",8,IF(OR($C20="韓職一軍",$C20="KBO"),9,IF($C20&lt;&gt;"",10,99))))))))))</f>
        <v>6</v>
      </c>
      <c r="L20" s="25" t="str">
        <f>IF(AND($D20="投手",LEFT($F20,3)="YES",OR($C20="MLB",$C20="3A",$C20="2A",$C20="日職一軍",$C20="韓職一軍",$C20="KBO")),COUNT($L$3:L19)+1,"")</f>
        <v/>
      </c>
      <c r="M20" s="25" t="str">
        <f>IF(AND($D20&lt;&gt;"投手",$D20&lt;&gt;"",LEFT($F20,3)="YES",OR($C20="MLB",$C20="3A",$C20="2A",$C20="日職一軍",$C20="韓職一軍",$C20="KBO")),COUNT($M$3:M19)+1,"")</f>
        <v/>
      </c>
      <c r="N20" s="69"/>
      <c r="O20" s="69"/>
      <c r="P20" s="69"/>
    </row>
    <row r="21" spans="1:16">
      <c r="A21" s="2" t="s">
        <v>60</v>
      </c>
      <c r="B21" s="2" t="str">
        <f>IFERROR(INDEX(總表!$B:$B,MATCH($A21,總表!$A:$A,0)),"")</f>
        <v>旅美</v>
      </c>
      <c r="C21" s="2" t="str">
        <f>IFERROR(INDEX(總表!$G:$G,MATCH($A21,總表!$A:$A,0)),"")</f>
        <v>RK</v>
      </c>
      <c r="D21" s="76" t="str">
        <f>IFERROR(INDEX(總表!$C:$C,MATCH($A21,總表!$A:$A,0)),"")</f>
        <v>投手</v>
      </c>
      <c r="E21" s="2" t="str">
        <f>IFERROR(INDEX(總表!$F:$F,MATCH($A21,總表!$A:$A,0)),"")</f>
        <v>聖地牙哥教士</v>
      </c>
      <c r="F21" s="77" t="s">
        <v>56</v>
      </c>
      <c r="G21" s="1"/>
      <c r="H21" s="1"/>
      <c r="I21" s="75">
        <f t="shared" si="0"/>
        <v>2</v>
      </c>
      <c r="J21" s="75">
        <f t="array" ref="J21">IF($B21="旅美",1,IF($B21="旅日",2,IF($B21="旅韓",3,IF($B21="台裔",4,IF($B21&lt;&gt;"",5,99)))))</f>
        <v>1</v>
      </c>
      <c r="K21" s="1">
        <f t="array" ref="K21">IF($C21="MLB",1,IF($C21="3A",2,IF($C21="2A",3,IF(OR($C21="A+",$C21="高A"),4,IF($C21="1A",5,IF(OR($C21="RK",$C21="Rookie"),6,IF($C21="日職一軍",7,IF($C21="日職二軍",8,IF(OR($C21="韓職一軍",$C21="KBO"),9,IF($C21&lt;&gt;"",10,99))))))))))</f>
        <v>6</v>
      </c>
      <c r="L21" s="25" t="str">
        <f>IF(AND($D21="投手",LEFT($F21,3)="YES",OR($C21="MLB",$C21="3A",$C21="2A",$C21="日職一軍",$C21="韓職一軍",$C21="KBO")),COUNT($L$3:L20)+1,"")</f>
        <v/>
      </c>
      <c r="M21" s="25" t="str">
        <f>IF(AND($D21&lt;&gt;"投手",$D21&lt;&gt;"",LEFT($F21,3)="YES",OR($C21="MLB",$C21="3A",$C21="2A",$C21="日職一軍",$C21="韓職一軍",$C21="KBO")),COUNT($M$3:M20)+1,"")</f>
        <v/>
      </c>
      <c r="N21" s="69"/>
      <c r="O21" s="69"/>
      <c r="P21" s="69"/>
    </row>
    <row r="22" spans="1:16">
      <c r="A22" s="10" t="s">
        <v>61</v>
      </c>
      <c r="B22" s="10" t="str">
        <f>IFERROR(INDEX(總表!$B:$B,MATCH($A22,總表!$A:$A,0)),"")</f>
        <v>旅日</v>
      </c>
      <c r="C22" s="10" t="str">
        <f>IFERROR(INDEX(總表!$G:$G,MATCH($A22,總表!$A:$A,0)),"")</f>
        <v>日職一軍</v>
      </c>
      <c r="D22" s="78" t="str">
        <f>IFERROR(INDEX(總表!$C:$C,MATCH($A22,總表!$A:$A,0)),"")</f>
        <v>投手</v>
      </c>
      <c r="E22" s="10" t="str">
        <f>IFERROR(INDEX(總表!$F:$F,MATCH($A22,總表!$A:$A,0)),"")</f>
        <v>東北樂天金鷲</v>
      </c>
      <c r="F22" s="77" t="s">
        <v>56</v>
      </c>
      <c r="G22" s="1"/>
      <c r="H22" s="1"/>
      <c r="I22" s="75">
        <f t="shared" si="0"/>
        <v>2</v>
      </c>
      <c r="J22" s="75">
        <f t="array" ref="J22">IF($B22="旅美",1,IF($B22="旅日",2,IF($B22="旅韓",3,IF($B22="台裔",4,IF($B22&lt;&gt;"",5,99)))))</f>
        <v>2</v>
      </c>
      <c r="K22" s="1">
        <f t="array" ref="K22">IF($C22="MLB",1,IF($C22="3A",2,IF($C22="2A",3,IF(OR($C22="A+",$C22="高A"),4,IF($C22="1A",5,IF(OR($C22="RK",$C22="Rookie"),6,IF($C22="日職一軍",7,IF($C22="日職二軍",8,IF(OR($C22="韓職一軍",$C22="KBO"),9,IF($C22&lt;&gt;"",10,99))))))))))</f>
        <v>7</v>
      </c>
      <c r="L22" s="25" t="str">
        <f>IF(AND($D22="投手",LEFT($F22,3)="YES",OR($C22="MLB",$C22="3A",$C22="2A",$C22="日職一軍",$C22="韓職一軍",$C22="KBO")),COUNT($L$3:L21)+1,"")</f>
        <v/>
      </c>
      <c r="M22" s="25" t="str">
        <f>IF(AND($D22&lt;&gt;"投手",$D22&lt;&gt;"",LEFT($F22,3)="YES",OR($C22="MLB",$C22="3A",$C22="2A",$C22="日職一軍",$C22="韓職一軍",$C22="KBO")),COUNT($M$3:M21)+1,"")</f>
        <v/>
      </c>
      <c r="N22" s="69"/>
      <c r="O22" s="69"/>
      <c r="P22" s="69"/>
    </row>
    <row r="23" spans="1:16">
      <c r="A23" s="10" t="s">
        <v>62</v>
      </c>
      <c r="B23" s="10" t="str">
        <f>IFERROR(INDEX(總表!$B:$B,MATCH($A23,總表!$A:$A,0)),"")</f>
        <v>旅日</v>
      </c>
      <c r="C23" s="10" t="str">
        <f>IFERROR(INDEX(總表!$G:$G,MATCH($A23,總表!$A:$A,0)),"")</f>
        <v>日職二軍</v>
      </c>
      <c r="D23" s="78" t="str">
        <f>IFERROR(INDEX(總表!$C:$C,MATCH($A23,總表!$A:$A,0)),"")</f>
        <v>投手</v>
      </c>
      <c r="E23" s="10" t="str">
        <f>IFERROR(INDEX(總表!$F:$F,MATCH($A23,總表!$A:$A,0)),"")</f>
        <v>北海道日本火腿鬥士</v>
      </c>
      <c r="F23" s="77" t="s">
        <v>56</v>
      </c>
      <c r="G23" s="1"/>
      <c r="H23" s="1"/>
      <c r="I23" s="75">
        <f t="shared" si="0"/>
        <v>2</v>
      </c>
      <c r="J23" s="75">
        <f t="array" ref="J23">IF($B23="旅美",1,IF($B23="旅日",2,IF($B23="旅韓",3,IF($B23="台裔",4,IF($B23&lt;&gt;"",5,99)))))</f>
        <v>2</v>
      </c>
      <c r="K23" s="1">
        <f t="array" ref="K23">IF($C23="MLB",1,IF($C23="3A",2,IF($C23="2A",3,IF(OR($C23="A+",$C23="高A"),4,IF($C23="1A",5,IF(OR($C23="RK",$C23="Rookie"),6,IF($C23="日職一軍",7,IF($C23="日職二軍",8,IF(OR($C23="韓職一軍",$C23="KBO"),9,IF($C23&lt;&gt;"",10,99))))))))))</f>
        <v>8</v>
      </c>
      <c r="L23" s="25" t="str">
        <f>IF(AND($D23="投手",LEFT($F23,3)="YES",OR($C23="MLB",$C23="3A",$C23="2A",$C23="日職一軍",$C23="韓職一軍",$C23="KBO")),COUNT($L$3:L22)+1,"")</f>
        <v/>
      </c>
      <c r="M23" s="25" t="str">
        <f>IF(AND($D23&lt;&gt;"投手",$D23&lt;&gt;"",LEFT($F23,3)="YES",OR($C23="MLB",$C23="3A",$C23="2A",$C23="日職一軍",$C23="韓職一軍",$C23="KBO")),COUNT($M$3:M22)+1,"")</f>
        <v/>
      </c>
      <c r="N23" s="69"/>
      <c r="O23" s="69"/>
      <c r="P23" s="69"/>
    </row>
    <row r="24" spans="1:16">
      <c r="A24" s="10" t="s">
        <v>63</v>
      </c>
      <c r="B24" s="10" t="str">
        <f>IFERROR(INDEX(總表!$B:$B,MATCH($A24,總表!$A:$A,0)),"")</f>
        <v>旅日</v>
      </c>
      <c r="C24" s="10" t="str">
        <f>IFERROR(INDEX(總表!$G:$G,MATCH($A24,總表!$A:$A,0)),"")</f>
        <v>日職二軍</v>
      </c>
      <c r="D24" s="78" t="str">
        <f>IFERROR(INDEX(總表!$C:$C,MATCH($A24,總表!$A:$A,0)),"")</f>
        <v>投手</v>
      </c>
      <c r="E24" s="10" t="str">
        <f>IFERROR(INDEX(總表!$F:$F,MATCH($A24,總表!$A:$A,0)),"")</f>
        <v>北海道日本火腿鬥士</v>
      </c>
      <c r="F24" s="77" t="s">
        <v>56</v>
      </c>
      <c r="G24" s="1"/>
      <c r="H24" s="1"/>
      <c r="I24" s="75">
        <f t="shared" si="0"/>
        <v>2</v>
      </c>
      <c r="J24" s="75">
        <f t="array" ref="J24">IF($B24="旅美",1,IF($B24="旅日",2,IF($B24="旅韓",3,IF($B24="台裔",4,IF($B24&lt;&gt;"",5,99)))))</f>
        <v>2</v>
      </c>
      <c r="K24" s="1">
        <f t="array" ref="K24">IF($C24="MLB",1,IF($C24="3A",2,IF($C24="2A",3,IF(OR($C24="A+",$C24="高A"),4,IF($C24="1A",5,IF(OR($C24="RK",$C24="Rookie"),6,IF($C24="日職一軍",7,IF($C24="日職二軍",8,IF(OR($C24="韓職一軍",$C24="KBO"),9,IF($C24&lt;&gt;"",10,99))))))))))</f>
        <v>8</v>
      </c>
      <c r="L24" s="25" t="str">
        <f>IF(AND($D24="投手",LEFT($F24,3)="YES",OR($C24="MLB",$C24="3A",$C24="2A",$C24="日職一軍",$C24="韓職一軍",$C24="KBO")),COUNT($L$3:L23)+1,"")</f>
        <v/>
      </c>
      <c r="M24" s="25" t="str">
        <f>IF(AND($D24&lt;&gt;"投手",$D24&lt;&gt;"",LEFT($F24,3)="YES",OR($C24="MLB",$C24="3A",$C24="2A",$C24="日職一軍",$C24="韓職一軍",$C24="KBO")),COUNT($M$3:M23)+1,"")</f>
        <v/>
      </c>
      <c r="N24" s="69"/>
      <c r="O24" s="69"/>
      <c r="P24" s="69"/>
    </row>
    <row r="25" spans="1:16">
      <c r="A25" s="10" t="s">
        <v>64</v>
      </c>
      <c r="B25" s="10" t="str">
        <f>IFERROR(INDEX(總表!$B:$B,MATCH($A25,總表!$A:$A,0)),"")</f>
        <v>旅日</v>
      </c>
      <c r="C25" s="10" t="str">
        <f>IFERROR(INDEX(總表!$G:$G,MATCH($A25,總表!$A:$A,0)),"")</f>
        <v>日職二軍</v>
      </c>
      <c r="D25" s="78" t="str">
        <f>IFERROR(INDEX(總表!$C:$C,MATCH($A25,總表!$A:$A,0)),"")</f>
        <v>投手</v>
      </c>
      <c r="E25" s="10" t="str">
        <f>IFERROR(INDEX(總表!$F:$F,MATCH($A25,總表!$A:$A,0)),"")</f>
        <v>福岡軟銀鷹</v>
      </c>
      <c r="F25" s="77" t="s">
        <v>56</v>
      </c>
      <c r="G25" s="1"/>
      <c r="H25" s="1"/>
      <c r="I25" s="75">
        <f t="shared" si="0"/>
        <v>2</v>
      </c>
      <c r="J25" s="75">
        <f t="array" ref="J25">IF($B25="旅美",1,IF($B25="旅日",2,IF($B25="旅韓",3,IF($B25="台裔",4,IF($B25&lt;&gt;"",5,99)))))</f>
        <v>2</v>
      </c>
      <c r="K25" s="1">
        <f t="array" ref="K25">IF($C25="MLB",1,IF($C25="3A",2,IF($C25="2A",3,IF(OR($C25="A+",$C25="高A"),4,IF($C25="1A",5,IF(OR($C25="RK",$C25="Rookie"),6,IF($C25="日職一軍",7,IF($C25="日職二軍",8,IF(OR($C25="韓職一軍",$C25="KBO"),9,IF($C25&lt;&gt;"",10,99))))))))))</f>
        <v>8</v>
      </c>
      <c r="L25" s="25" t="str">
        <f>IF(AND($D25="投手",LEFT($F25,3)="YES",OR($C25="MLB",$C25="3A",$C25="2A",$C25="日職一軍",$C25="韓職一軍",$C25="KBO")),COUNT($L$3:L24)+1,"")</f>
        <v/>
      </c>
      <c r="M25" s="25" t="str">
        <f>IF(AND($D25&lt;&gt;"投手",$D25&lt;&gt;"",LEFT($F25,3)="YES",OR($C25="MLB",$C25="3A",$C25="2A",$C25="日職一軍",$C25="韓職一軍",$C25="KBO")),COUNT($M$3:M24)+1,"")</f>
        <v/>
      </c>
      <c r="N25" s="69"/>
      <c r="O25" s="69"/>
      <c r="P25" s="69"/>
    </row>
    <row r="26" spans="1:16">
      <c r="A26" s="10" t="s">
        <v>65</v>
      </c>
      <c r="B26" s="10" t="str">
        <f>IFERROR(INDEX(總表!$B:$B,MATCH($A26,總表!$A:$A,0)),"")</f>
        <v>旅日</v>
      </c>
      <c r="C26" s="10" t="str">
        <f>IFERROR(INDEX(總表!$G:$G,MATCH($A26,總表!$A:$A,0)),"")</f>
        <v>日職二軍</v>
      </c>
      <c r="D26" s="78" t="str">
        <f>IFERROR(INDEX(總表!$C:$C,MATCH($A26,總表!$A:$A,0)),"")</f>
        <v>投手</v>
      </c>
      <c r="E26" s="10" t="str">
        <f>IFERROR(INDEX(總表!$F:$F,MATCH($A26,總表!$A:$A,0)),"")</f>
        <v>東京養樂多燕子</v>
      </c>
      <c r="F26" s="77" t="s">
        <v>56</v>
      </c>
      <c r="G26" s="1"/>
      <c r="H26" s="1"/>
      <c r="I26" s="75">
        <f t="shared" si="0"/>
        <v>2</v>
      </c>
      <c r="J26" s="75">
        <f t="array" ref="J26">IF($B26="旅美",1,IF($B26="旅日",2,IF($B26="旅韓",3,IF($B26="台裔",4,IF($B26&lt;&gt;"",5,99)))))</f>
        <v>2</v>
      </c>
      <c r="K26" s="1">
        <f t="array" ref="K26">IF($C26="MLB",1,IF($C26="3A",2,IF($C26="2A",3,IF(OR($C26="A+",$C26="高A"),4,IF($C26="1A",5,IF(OR($C26="RK",$C26="Rookie"),6,IF($C26="日職一軍",7,IF($C26="日職二軍",8,IF(OR($C26="韓職一軍",$C26="KBO"),9,IF($C26&lt;&gt;"",10,99))))))))))</f>
        <v>8</v>
      </c>
      <c r="L26" s="25" t="str">
        <f>IF(AND($D26="投手",LEFT($F26,3)="YES",OR($C26="MLB",$C26="3A",$C26="2A",$C26="日職一軍",$C26="韓職一軍",$C26="KBO")),COUNT($L$3:L25)+1,"")</f>
        <v/>
      </c>
      <c r="M26" s="25" t="str">
        <f>IF(AND($D26&lt;&gt;"投手",$D26&lt;&gt;"",LEFT($F26,3)="YES",OR($C26="MLB",$C26="3A",$C26="2A",$C26="日職一軍",$C26="韓職一軍",$C26="KBO")),COUNT($M$3:M25)+1,"")</f>
        <v/>
      </c>
      <c r="N26" s="69"/>
      <c r="O26" s="69"/>
      <c r="P26" s="69"/>
    </row>
    <row r="27" spans="1:16">
      <c r="A27" s="10" t="s">
        <v>66</v>
      </c>
      <c r="B27" s="10" t="str">
        <f>IFERROR(INDEX(總表!$B:$B,MATCH($A27,總表!$A:$A,0)),"")</f>
        <v>旅日</v>
      </c>
      <c r="C27" s="10" t="str">
        <f>IFERROR(INDEX(總表!$G:$G,MATCH($A27,總表!$A:$A,0)),"")</f>
        <v>日職二軍</v>
      </c>
      <c r="D27" s="78" t="str">
        <f>IFERROR(INDEX(總表!$C:$C,MATCH($A27,總表!$A:$A,0)),"")</f>
        <v>投手</v>
      </c>
      <c r="E27" s="10" t="str">
        <f>IFERROR(INDEX(總表!$F:$F,MATCH($A27,總表!$A:$A,0)),"")</f>
        <v>福岡軟銀鷹</v>
      </c>
      <c r="F27" s="77" t="s">
        <v>56</v>
      </c>
      <c r="G27" s="1"/>
      <c r="H27" s="1"/>
      <c r="I27" s="75">
        <f t="shared" si="0"/>
        <v>2</v>
      </c>
      <c r="J27" s="75">
        <f t="array" ref="J27">IF($B27="旅美",1,IF($B27="旅日",2,IF($B27="旅韓",3,IF($B27="台裔",4,IF($B27&lt;&gt;"",5,99)))))</f>
        <v>2</v>
      </c>
      <c r="K27" s="1">
        <f t="array" ref="K27">IF($C27="MLB",1,IF($C27="3A",2,IF($C27="2A",3,IF(OR($C27="A+",$C27="高A"),4,IF($C27="1A",5,IF(OR($C27="RK",$C27="Rookie"),6,IF($C27="日職一軍",7,IF($C27="日職二軍",8,IF(OR($C27="韓職一軍",$C27="KBO"),9,IF($C27&lt;&gt;"",10,99))))))))))</f>
        <v>8</v>
      </c>
      <c r="L27" s="25" t="str">
        <f>IF(AND($D27="投手",LEFT($F27,3)="YES",OR($C27="MLB",$C27="3A",$C27="2A",$C27="日職一軍",$C27="韓職一軍",$C27="KBO")),COUNT($L$3:L26)+1,"")</f>
        <v/>
      </c>
      <c r="M27" s="25" t="str">
        <f>IF(AND($D27&lt;&gt;"投手",$D27&lt;&gt;"",LEFT($F27,3)="YES",OR($C27="MLB",$C27="3A",$C27="2A",$C27="日職一軍",$C27="韓職一軍",$C27="KBO")),COUNT($M$3:M26)+1,"")</f>
        <v/>
      </c>
      <c r="N27" s="69"/>
      <c r="O27" s="69"/>
      <c r="P27" s="69"/>
    </row>
    <row r="28" spans="1:16">
      <c r="A28" s="10" t="s">
        <v>67</v>
      </c>
      <c r="B28" s="10" t="str">
        <f>IFERROR(INDEX(總表!$B:$B,MATCH($A28,總表!$A:$A,0)),"")</f>
        <v>旅日</v>
      </c>
      <c r="C28" s="10" t="str">
        <f>IFERROR(INDEX(總表!$G:$G,MATCH($A28,總表!$A:$A,0)),"")</f>
        <v>日職二軍</v>
      </c>
      <c r="D28" s="78" t="str">
        <f>IFERROR(INDEX(總表!$C:$C,MATCH($A28,總表!$A:$A,0)),"")</f>
        <v>投手</v>
      </c>
      <c r="E28" s="10" t="str">
        <f>IFERROR(INDEX(總表!$F:$F,MATCH($A28,總表!$A:$A,0)),"")</f>
        <v>歐力士猛牛</v>
      </c>
      <c r="F28" s="77" t="s">
        <v>56</v>
      </c>
      <c r="G28" s="1"/>
      <c r="H28" s="1"/>
      <c r="I28" s="75">
        <f t="shared" si="0"/>
        <v>2</v>
      </c>
      <c r="J28" s="75">
        <f t="array" ref="J28">IF($B28="旅美",1,IF($B28="旅日",2,IF($B28="旅韓",3,IF($B28="台裔",4,IF($B28&lt;&gt;"",5,99)))))</f>
        <v>2</v>
      </c>
      <c r="K28" s="1">
        <f t="array" ref="K28">IF($C28="MLB",1,IF($C28="3A",2,IF($C28="2A",3,IF(OR($C28="A+",$C28="高A"),4,IF($C28="1A",5,IF(OR($C28="RK",$C28="Rookie"),6,IF($C28="日職一軍",7,IF($C28="日職二軍",8,IF(OR($C28="韓職一軍",$C28="KBO"),9,IF($C28&lt;&gt;"",10,99))))))))))</f>
        <v>8</v>
      </c>
      <c r="L28" s="25" t="str">
        <f>IF(AND($D28="投手",LEFT($F28,3)="YES",OR($C28="MLB",$C28="3A",$C28="2A",$C28="日職一軍",$C28="韓職一軍",$C28="KBO")),COUNT($L$3:L27)+1,"")</f>
        <v/>
      </c>
      <c r="M28" s="25" t="str">
        <f>IF(AND($D28&lt;&gt;"投手",$D28&lt;&gt;"",LEFT($F28,3)="YES",OR($C28="MLB",$C28="3A",$C28="2A",$C28="日職一軍",$C28="韓職一軍",$C28="KBO")),COUNT($M$3:M27)+1,"")</f>
        <v/>
      </c>
      <c r="N28" s="69"/>
      <c r="O28" s="69"/>
      <c r="P28" s="69"/>
    </row>
    <row r="29" spans="1:16">
      <c r="A29" s="10" t="s">
        <v>68</v>
      </c>
      <c r="B29" s="10" t="str">
        <f>IFERROR(INDEX(總表!$B:$B,MATCH($A29,總表!$A:$A,0)),"")</f>
        <v>旅日</v>
      </c>
      <c r="C29" s="10" t="str">
        <f>IFERROR(INDEX(總表!$G:$G,MATCH($A29,總表!$A:$A,0)),"")</f>
        <v>日職二軍</v>
      </c>
      <c r="D29" s="78" t="str">
        <f>IFERROR(INDEX(總表!$C:$C,MATCH($A29,總表!$A:$A,0)),"")</f>
        <v>投手</v>
      </c>
      <c r="E29" s="10" t="str">
        <f>IFERROR(INDEX(總表!$F:$F,MATCH($A29,總表!$A:$A,0)),"")</f>
        <v>讀賣巨人</v>
      </c>
      <c r="F29" s="77" t="s">
        <v>56</v>
      </c>
      <c r="G29" s="1"/>
      <c r="H29" s="1"/>
      <c r="I29" s="75">
        <f t="shared" si="0"/>
        <v>2</v>
      </c>
      <c r="J29" s="75">
        <f t="array" ref="J29">IF($B29="旅美",1,IF($B29="旅日",2,IF($B29="旅韓",3,IF($B29="台裔",4,IF($B29&lt;&gt;"",5,99)))))</f>
        <v>2</v>
      </c>
      <c r="K29" s="1">
        <f t="array" ref="K29">IF($C29="MLB",1,IF($C29="3A",2,IF($C29="2A",3,IF(OR($C29="A+",$C29="高A"),4,IF($C29="1A",5,IF(OR($C29="RK",$C29="Rookie"),6,IF($C29="日職一軍",7,IF($C29="日職二軍",8,IF(OR($C29="韓職一軍",$C29="KBO"),9,IF($C29&lt;&gt;"",10,99))))))))))</f>
        <v>8</v>
      </c>
      <c r="L29" s="25" t="str">
        <f>IF(AND($D29="投手",LEFT($F29,3)="YES",OR($C29="MLB",$C29="3A",$C29="2A",$C29="日職一軍",$C29="韓職一軍",$C29="KBO")),COUNT($L$3:L28)+1,"")</f>
        <v/>
      </c>
      <c r="M29" s="25" t="str">
        <f>IF(AND($D29&lt;&gt;"投手",$D29&lt;&gt;"",LEFT($F29,3)="YES",OR($C29="MLB",$C29="3A",$C29="2A",$C29="日職一軍",$C29="韓職一軍",$C29="KBO")),COUNT($M$3:M28)+1,"")</f>
        <v/>
      </c>
      <c r="N29" s="69"/>
      <c r="O29" s="69"/>
      <c r="P29" s="69"/>
    </row>
    <row r="30" spans="1:16">
      <c r="A30" s="10" t="s">
        <v>69</v>
      </c>
      <c r="B30" s="10" t="str">
        <f>IFERROR(INDEX(總表!$B:$B,MATCH($A30,總表!$A:$A,0)),"")</f>
        <v>旅日</v>
      </c>
      <c r="C30" s="10" t="str">
        <f>IFERROR(INDEX(總表!$G:$G,MATCH($A30,總表!$A:$A,0)),"")</f>
        <v>日職二軍</v>
      </c>
      <c r="D30" s="78" t="str">
        <f>IFERROR(INDEX(總表!$C:$C,MATCH($A30,總表!$A:$A,0)),"")</f>
        <v>投手</v>
      </c>
      <c r="E30" s="10" t="str">
        <f>IFERROR(INDEX(總表!$F:$F,MATCH($A30,總表!$A:$A,0)),"")</f>
        <v>東北樂天金鷲</v>
      </c>
      <c r="F30" s="77" t="s">
        <v>56</v>
      </c>
      <c r="G30" s="1"/>
      <c r="H30" s="1"/>
      <c r="I30" s="75">
        <f t="shared" si="0"/>
        <v>2</v>
      </c>
      <c r="J30" s="75">
        <f t="array" ref="J30">IF($B30="旅美",1,IF($B30="旅日",2,IF($B30="旅韓",3,IF($B30="台裔",4,IF($B30&lt;&gt;"",5,99)))))</f>
        <v>2</v>
      </c>
      <c r="K30" s="1">
        <f t="array" ref="K30">IF($C30="MLB",1,IF($C30="3A",2,IF($C30="2A",3,IF(OR($C30="A+",$C30="高A"),4,IF($C30="1A",5,IF(OR($C30="RK",$C30="Rookie"),6,IF($C30="日職一軍",7,IF($C30="日職二軍",8,IF(OR($C30="韓職一軍",$C30="KBO"),9,IF($C30&lt;&gt;"",10,99))))))))))</f>
        <v>8</v>
      </c>
      <c r="L30" s="25" t="str">
        <f>IF(AND($D30="投手",LEFT($F30,3)="YES",OR($C30="MLB",$C30="3A",$C30="2A",$C30="日職一軍",$C30="韓職一軍",$C30="KBO")),COUNT($L$3:L29)+1,"")</f>
        <v/>
      </c>
      <c r="M30" s="25" t="str">
        <f>IF(AND($D30&lt;&gt;"投手",$D30&lt;&gt;"",LEFT($F30,3)="YES",OR($C30="MLB",$C30="3A",$C30="2A",$C30="日職一軍",$C30="韓職一軍",$C30="KBO")),COUNT($M$3:M29)+1,"")</f>
        <v/>
      </c>
      <c r="N30" s="69"/>
      <c r="O30" s="69"/>
      <c r="P30" s="69"/>
    </row>
    <row r="31" spans="1:16">
      <c r="A31" s="11" t="s">
        <v>70</v>
      </c>
      <c r="B31" s="11" t="str">
        <f>IFERROR(INDEX(總表!$B:$B,MATCH($A31,總表!$A:$A,0)),"")</f>
        <v>旅韓</v>
      </c>
      <c r="C31" s="11" t="str">
        <f>IFERROR(INDEX(總表!$G:$G,MATCH($A31,總表!$A:$A,0)),"")</f>
        <v>韓職一軍</v>
      </c>
      <c r="D31" s="79" t="str">
        <f>IFERROR(INDEX(總表!$C:$C,MATCH($A31,總表!$A:$A,0)),"")</f>
        <v>投手</v>
      </c>
      <c r="E31" s="11" t="str">
        <f>IFERROR(INDEX(總表!$F:$F,MATCH($A31,總表!$A:$A,0)),"")</f>
        <v>韓華鷹</v>
      </c>
      <c r="F31" s="77" t="s">
        <v>56</v>
      </c>
      <c r="G31" s="1"/>
      <c r="H31" s="1"/>
      <c r="I31" s="75">
        <f t="shared" si="0"/>
        <v>2</v>
      </c>
      <c r="J31" s="75">
        <f t="array" ref="J31">IF($B31="旅美",1,IF($B31="旅日",2,IF($B31="旅韓",3,IF($B31="台裔",4,IF($B31&lt;&gt;"",5,99)))))</f>
        <v>3</v>
      </c>
      <c r="K31" s="1">
        <f t="array" ref="K31">IF($C31="MLB",1,IF($C31="3A",2,IF($C31="2A",3,IF(OR($C31="A+",$C31="高A"),4,IF($C31="1A",5,IF(OR($C31="RK",$C31="Rookie"),6,IF($C31="日職一軍",7,IF($C31="日職二軍",8,IF(OR($C31="韓職一軍",$C31="KBO"),9,IF($C31&lt;&gt;"",10,99))))))))))</f>
        <v>9</v>
      </c>
      <c r="L31" s="25" t="str">
        <f>IF(AND($D31="投手",LEFT($F31,3)="YES",OR($C31="MLB",$C31="3A",$C31="2A",$C31="日職一軍",$C31="韓職一軍",$C31="KBO")),COUNT($L$3:L30)+1,"")</f>
        <v/>
      </c>
      <c r="M31" s="25" t="str">
        <f>IF(AND($D31&lt;&gt;"投手",$D31&lt;&gt;"",LEFT($F31,3)="YES",OR($C31="MLB",$C31="3A",$C31="2A",$C31="日職一軍",$C31="韓職一軍",$C31="KBO")),COUNT($M$3:M30)+1,"")</f>
        <v/>
      </c>
      <c r="N31" s="69"/>
      <c r="O31" s="69"/>
      <c r="P31" s="69"/>
    </row>
    <row r="32" spans="1:16">
      <c r="A32" s="58" t="s">
        <v>12</v>
      </c>
      <c r="B32" s="58" t="str">
        <f>IFERROR(INDEX(總表!$B:$B,MATCH($A32,總表!$A:$A,0)),"")</f>
        <v/>
      </c>
      <c r="C32" s="1" t="str">
        <f>IFERROR(INDEX(總表!$G:$G,MATCH($A32,總表!$A:$A,0)),"")</f>
        <v/>
      </c>
      <c r="D32" s="77" t="str">
        <f>IFERROR(INDEX(總表!$C:$C,MATCH($A32,總表!$A:$A,0)),"")</f>
        <v/>
      </c>
      <c r="E32" s="1" t="str">
        <f>IFERROR(INDEX(總表!$F:$F,MATCH($A32,總表!$A:$A,0)),"")</f>
        <v/>
      </c>
      <c r="F32" s="77"/>
      <c r="G32" s="1"/>
      <c r="H32" s="1"/>
      <c r="I32" s="75">
        <f t="shared" si="0"/>
        <v>3</v>
      </c>
      <c r="J32" s="75">
        <f t="array" ref="J32">IF($B32="旅美",1,IF($B32="旅日",2,IF($B32="旅韓",3,IF($B32="台裔",4,IF($B32&lt;&gt;"",5,99)))))</f>
        <v>99</v>
      </c>
      <c r="K32" s="1">
        <f t="array" ref="K32">IF($C32="MLB",1,IF($C32="3A",2,IF($C32="2A",3,IF(OR($C32="A+",$C32="高A"),4,IF($C32="1A",5,IF(OR($C32="RK",$C32="Rookie"),6,IF($C32="日職一軍",7,IF($C32="日職二軍",8,IF(OR($C32="韓職一軍",$C32="KBO"),9,IF($C32&lt;&gt;"",10,99))))))))))</f>
        <v>99</v>
      </c>
      <c r="L32" s="25" t="str">
        <f>IF(AND($D32="投手",LEFT($F32,3)="YES",OR($C32="MLB",$C32="3A",$C32="2A",$C32="日職一軍",$C32="韓職一軍",$C32="KBO")),COUNT($L$3:L31)+1,"")</f>
        <v/>
      </c>
      <c r="M32" s="25" t="str">
        <f>IF(AND($D32&lt;&gt;"投手",$D32&lt;&gt;"",LEFT($F32,3)="YES",OR($C32="MLB",$C32="3A",$C32="2A",$C32="日職一軍",$C32="韓職一軍",$C32="KBO")),COUNT($M$3:M31)+1,"")</f>
        <v/>
      </c>
      <c r="N32" s="69"/>
      <c r="O32" s="69"/>
      <c r="P32" s="69"/>
    </row>
    <row r="33" spans="1:26">
      <c r="A33" s="2" t="s">
        <v>71</v>
      </c>
      <c r="B33" s="2" t="str">
        <f>IFERROR(INDEX(總表!$B:$B,MATCH($A33,總表!$A:$A,0)),"")</f>
        <v>旅美</v>
      </c>
      <c r="C33" s="2" t="str">
        <f>IFERROR(INDEX(總表!$G:$G,MATCH($A33,總表!$A:$A,0)),"")</f>
        <v>MLB</v>
      </c>
      <c r="D33" s="76" t="str">
        <f>IFERROR(INDEX(總表!$C:$C,MATCH($A33,總表!$A:$A,0)),"")</f>
        <v>野手</v>
      </c>
      <c r="E33" s="2" t="str">
        <f>IFERROR(INDEX(總表!$F:$F,MATCH($A33,總表!$A:$A,0)),"")</f>
        <v>底特律老虎</v>
      </c>
      <c r="F33" s="77" t="s">
        <v>72</v>
      </c>
      <c r="G33" s="1"/>
      <c r="H33" s="1"/>
      <c r="I33" s="75">
        <f t="shared" si="0"/>
        <v>4</v>
      </c>
      <c r="J33" s="75">
        <f t="array" ref="J33">IF($B33="旅美",1,IF($B33="旅日",2,IF($B33="旅韓",3,IF($B33="台裔",4,IF($B33&lt;&gt;"",5,99)))))</f>
        <v>1</v>
      </c>
      <c r="K33" s="1">
        <f t="array" ref="K33">IF($C33="MLB",1,IF($C33="3A",2,IF($C33="2A",3,IF(OR($C33="A+",$C33="高A"),4,IF($C33="1A",5,IF(OR($C33="RK",$C33="Rookie"),6,IF($C33="日職一軍",7,IF($C33="日職二軍",8,IF(OR($C33="韓職一軍",$C33="KBO"),9,IF($C33&lt;&gt;"",10,99))))))))))</f>
        <v>1</v>
      </c>
      <c r="L33" s="25" t="str">
        <f>IF(AND($D33="投手",LEFT($F33,3)="YES",OR($C33="MLB",$C33="3A",$C33="2A",$C33="日職一軍",$C33="韓職一軍",$C33="KBO")),COUNT($L$3:L32)+1,"")</f>
        <v/>
      </c>
      <c r="M33" s="25" t="str">
        <f>IF(AND($D33&lt;&gt;"投手",$D33&lt;&gt;"",LEFT($F33,3)="YES",OR($C33="MLB",$C33="3A",$C33="2A",$C33="日職一軍",$C33="韓職一軍",$C33="KBO")),COUNT($M$3:M32)+1,"")</f>
        <v/>
      </c>
      <c r="N33" s="69"/>
      <c r="O33" s="69"/>
      <c r="P33" s="69"/>
    </row>
    <row r="34" spans="1:26">
      <c r="A34" s="2" t="s">
        <v>73</v>
      </c>
      <c r="B34" s="2" t="str">
        <f>IFERROR(INDEX(總表!$B:$B,MATCH($A34,總表!$A:$A,0)),"")</f>
        <v>旅美</v>
      </c>
      <c r="C34" s="2" t="str">
        <f>IFERROR(INDEX(總表!$G:$G,MATCH($A34,總表!$A:$A,0)),"")</f>
        <v>3A</v>
      </c>
      <c r="D34" s="76" t="str">
        <f>IFERROR(INDEX(總表!$C:$C,MATCH($A34,總表!$A:$A,0)),"")</f>
        <v>野手</v>
      </c>
      <c r="E34" s="2" t="str">
        <f>IFERROR(INDEX(總表!$F:$F,MATCH($A34,總表!$A:$A,0)),"")</f>
        <v>波士頓紅襪</v>
      </c>
      <c r="F34" s="77" t="s">
        <v>35</v>
      </c>
      <c r="G34" s="1"/>
      <c r="H34" s="80" t="s">
        <v>74</v>
      </c>
      <c r="I34" s="75">
        <f t="shared" si="0"/>
        <v>4</v>
      </c>
      <c r="J34" s="75">
        <f t="array" ref="J34">IF($B34="旅美",1,IF($B34="旅日",2,IF($B34="旅韓",3,IF($B34="台裔",4,IF($B34&lt;&gt;"",5,99)))))</f>
        <v>1</v>
      </c>
      <c r="K34" s="1">
        <f t="array" ref="K34">IF($C34="MLB",1,IF($C34="3A",2,IF($C34="2A",3,IF(OR($C34="A+",$C34="高A"),4,IF($C34="1A",5,IF(OR($C34="RK",$C34="Rookie"),6,IF($C34="日職一軍",7,IF($C34="日職二軍",8,IF(OR($C34="韓職一軍",$C34="KBO"),9,IF($C34&lt;&gt;"",10,99))))))))))</f>
        <v>2</v>
      </c>
      <c r="L34" s="25" t="str">
        <f>IF(AND($D34="投手",LEFT($F34,3)="YES",OR($C34="MLB",$C34="3A",$C34="2A",$C34="日職一軍",$C34="韓職一軍",$C34="KBO")),COUNT($L$3:L33)+1,"")</f>
        <v/>
      </c>
      <c r="M34" s="25">
        <f>IF(AND($D34&lt;&gt;"投手",$D34&lt;&gt;"",LEFT($F34,3)="YES",OR($C34="MLB",$C34="3A",$C34="2A",$C34="日職一軍",$C34="韓職一軍",$C34="KBO")),COUNT($M$3:M33)+1,"")</f>
        <v>1</v>
      </c>
      <c r="N34" s="69"/>
      <c r="O34" s="69"/>
      <c r="P34" s="69"/>
    </row>
    <row r="35" spans="1:26">
      <c r="A35" s="2" t="s">
        <v>75</v>
      </c>
      <c r="B35" s="2" t="str">
        <f>IFERROR(INDEX(總表!$B:$B,MATCH($A35,總表!$A:$A,0)),"")</f>
        <v>旅美</v>
      </c>
      <c r="C35" s="2" t="str">
        <f>IFERROR(INDEX(總表!$G:$G,MATCH($A35,總表!$A:$A,0)),"")</f>
        <v>1A</v>
      </c>
      <c r="D35" s="76" t="str">
        <f>IFERROR(INDEX(總表!$C:$C,MATCH($A35,總表!$A:$A,0)),"")</f>
        <v>外野手</v>
      </c>
      <c r="E35" s="2" t="str">
        <f>IFERROR(INDEX(總表!$F:$F,MATCH($A35,總表!$A:$A,0)),"")</f>
        <v>洛杉磯道奇</v>
      </c>
      <c r="F35" s="77" t="s">
        <v>35</v>
      </c>
      <c r="G35" s="1"/>
      <c r="H35" s="25" t="s">
        <v>76</v>
      </c>
      <c r="I35" s="75">
        <f t="shared" si="0"/>
        <v>4</v>
      </c>
      <c r="J35" s="75">
        <f t="array" ref="J35">IF($B35="旅美",1,IF($B35="旅日",2,IF($B35="旅韓",3,IF($B35="台裔",4,IF($B35&lt;&gt;"",5,99)))))</f>
        <v>1</v>
      </c>
      <c r="K35" s="1">
        <f t="array" ref="K35">IF($C35="MLB",1,IF($C35="3A",2,IF($C35="2A",3,IF(OR($C35="A+",$C35="高A"),4,IF($C35="1A",5,IF(OR($C35="RK",$C35="Rookie"),6,IF($C35="日職一軍",7,IF($C35="日職二軍",8,IF(OR($C35="韓職一軍",$C35="KBO"),9,IF($C35&lt;&gt;"",10,99))))))))))</f>
        <v>5</v>
      </c>
      <c r="L35" s="25" t="str">
        <f>IF(AND($D35="投手",LEFT($F35,3)="YES",OR($C35="MLB",$C35="3A",$C35="2A",$C35="日職一軍",$C35="韓職一軍",$C35="KBO")),COUNT($L$3:L34)+1,"")</f>
        <v/>
      </c>
      <c r="M35" s="25" t="str">
        <f>IF(AND($D35&lt;&gt;"投手",$D35&lt;&gt;"",LEFT($F35,3)="YES",OR($C35="MLB",$C35="3A",$C35="2A",$C35="日職一軍",$C35="韓職一軍",$C35="KBO")),COUNT($M$3:M34)+1,"")</f>
        <v/>
      </c>
      <c r="N35" s="69"/>
      <c r="O35" s="69"/>
      <c r="P35" s="69"/>
    </row>
    <row r="36" spans="1:26">
      <c r="A36" s="2" t="s">
        <v>77</v>
      </c>
      <c r="B36" s="2" t="str">
        <f>IFERROR(INDEX(總表!$B:$B,MATCH($A36,總表!$A:$A,0)),"")</f>
        <v>旅美</v>
      </c>
      <c r="C36" s="2" t="str">
        <f>IFERROR(INDEX(總表!$G:$G,MATCH($A36,總表!$A:$A,0)),"")</f>
        <v>RK</v>
      </c>
      <c r="D36" s="76" t="str">
        <f>IFERROR(INDEX(總表!$C:$C,MATCH($A36,總表!$A:$A,0)),"")</f>
        <v>內野手</v>
      </c>
      <c r="E36" s="2" t="str">
        <f>IFERROR(INDEX(總表!$F:$F,MATCH($A36,總表!$A:$A,0)),"")</f>
        <v>密爾瓦基釀酒人</v>
      </c>
      <c r="F36" s="77" t="s">
        <v>56</v>
      </c>
      <c r="G36" s="1"/>
      <c r="H36" s="1"/>
      <c r="I36" s="75">
        <f t="shared" si="0"/>
        <v>4</v>
      </c>
      <c r="J36" s="75">
        <f t="array" ref="J36">IF($B36="旅美",1,IF($B36="旅日",2,IF($B36="旅韓",3,IF($B36="台裔",4,IF($B36&lt;&gt;"",5,99)))))</f>
        <v>1</v>
      </c>
      <c r="K36" s="1">
        <f t="array" ref="K36">IF($C36="MLB",1,IF($C36="3A",2,IF($C36="2A",3,IF(OR($C36="A+",$C36="高A"),4,IF($C36="1A",5,IF(OR($C36="RK",$C36="Rookie"),6,IF($C36="日職一軍",7,IF($C36="日職二軍",8,IF(OR($C36="韓職一軍",$C36="KBO"),9,IF($C36&lt;&gt;"",10,99))))))))))</f>
        <v>6</v>
      </c>
      <c r="L36" s="25" t="str">
        <f>IF(AND($D36="投手",LEFT($F36,3)="YES",OR($C36="MLB",$C36="3A",$C36="2A",$C36="日職一軍",$C36="韓職一軍",$C36="KBO")),COUNT($L$3:L35)+1,"")</f>
        <v/>
      </c>
      <c r="M36" s="25" t="str">
        <f>IF(AND($D36&lt;&gt;"投手",$D36&lt;&gt;"",LEFT($F36,3)="YES",OR($C36="MLB",$C36="3A",$C36="2A",$C36="日職一軍",$C36="韓職一軍",$C36="KBO")),COUNT($M$3:M35)+1,"")</f>
        <v/>
      </c>
      <c r="N36" s="69"/>
      <c r="O36" s="69"/>
      <c r="P36" s="69"/>
    </row>
    <row r="37" spans="1:26">
      <c r="A37" s="10" t="s">
        <v>78</v>
      </c>
      <c r="B37" s="10" t="str">
        <f>IFERROR(INDEX(總表!$B:$B,MATCH($A37,總表!$A:$A,0)),"")</f>
        <v>旅日</v>
      </c>
      <c r="C37" s="10" t="str">
        <f>IFERROR(INDEX(總表!$G:$G,MATCH($A37,總表!$A:$A,0)),"")</f>
        <v>日職一軍</v>
      </c>
      <c r="D37" s="78" t="str">
        <f>IFERROR(INDEX(總表!$C:$C,MATCH($A37,總表!$A:$A,0)),"")</f>
        <v>外野手</v>
      </c>
      <c r="E37" s="10" t="str">
        <f>IFERROR(INDEX(總表!$F:$F,MATCH($A37,總表!$A:$A,0)),"")</f>
        <v>埼玉西武獅</v>
      </c>
      <c r="F37" s="77" t="s">
        <v>56</v>
      </c>
      <c r="G37" s="1"/>
      <c r="H37" s="1"/>
      <c r="I37" s="75">
        <f t="shared" si="0"/>
        <v>4</v>
      </c>
      <c r="J37" s="75">
        <f t="array" ref="J37">IF($B37="旅美",1,IF($B37="旅日",2,IF($B37="旅韓",3,IF($B37="台裔",4,IF($B37&lt;&gt;"",5,99)))))</f>
        <v>2</v>
      </c>
      <c r="K37" s="1">
        <f t="array" ref="K37">IF($C37="MLB",1,IF($C37="3A",2,IF($C37="2A",3,IF(OR($C37="A+",$C37="高A"),4,IF($C37="1A",5,IF(OR($C37="RK",$C37="Rookie"),6,IF($C37="日職一軍",7,IF($C37="日職二軍",8,IF(OR($C37="韓職一軍",$C37="KBO"),9,IF($C37&lt;&gt;"",10,99))))))))))</f>
        <v>7</v>
      </c>
      <c r="L37" s="25" t="str">
        <f>IF(AND($D37="投手",LEFT($F37,3)="YES",OR($C37="MLB",$C37="3A",$C37="2A",$C37="日職一軍",$C37="韓職一軍",$C37="KBO")),COUNT($L$3:L36)+1,"")</f>
        <v/>
      </c>
      <c r="M37" s="25" t="str">
        <f>IF(AND($D37&lt;&gt;"投手",$D37&lt;&gt;"",LEFT($F37,3)="YES",OR($C37="MLB",$C37="3A",$C37="2A",$C37="日職一軍",$C37="韓職一軍",$C37="KBO")),COUNT($M$3:M36)+1,"")</f>
        <v/>
      </c>
      <c r="N37" s="69"/>
      <c r="O37" s="69"/>
      <c r="P37" s="69"/>
    </row>
    <row r="38" spans="1:26">
      <c r="A38" s="10" t="s">
        <v>79</v>
      </c>
      <c r="B38" s="10" t="str">
        <f>IFERROR(INDEX(總表!$B:$B,MATCH($A38,總表!$A:$A,0)),"")</f>
        <v>旅日</v>
      </c>
      <c r="C38" s="10" t="str">
        <f>IFERROR(INDEX(總表!$G:$G,MATCH($A38,總表!$A:$A,0)),"")</f>
        <v>日職二軍</v>
      </c>
      <c r="D38" s="78" t="str">
        <f>IFERROR(INDEX(總表!$C:$C,MATCH($A38,總表!$A:$A,0)),"")</f>
        <v>野手</v>
      </c>
      <c r="E38" s="10" t="str">
        <f>IFERROR(INDEX(總表!$F:$F,MATCH($A38,總表!$A:$A,0)),"")</f>
        <v>埼玉西武獅</v>
      </c>
      <c r="F38" s="77" t="s">
        <v>56</v>
      </c>
      <c r="G38" s="1"/>
      <c r="H38" s="1"/>
      <c r="I38" s="75">
        <f t="shared" si="0"/>
        <v>4</v>
      </c>
      <c r="J38" s="75">
        <f t="array" ref="J38">IF($B38="旅美",1,IF($B38="旅日",2,IF($B38="旅韓",3,IF($B38="台裔",4,IF($B38&lt;&gt;"",5,99)))))</f>
        <v>2</v>
      </c>
      <c r="K38" s="1">
        <f t="array" ref="K38">IF($C38="MLB",1,IF($C38="3A",2,IF($C38="2A",3,IF(OR($C38="A+",$C38="高A"),4,IF($C38="1A",5,IF(OR($C38="RK",$C38="Rookie"),6,IF($C38="日職一軍",7,IF($C38="日職二軍",8,IF(OR($C38="韓職一軍",$C38="KBO"),9,IF($C38&lt;&gt;"",10,99))))))))))</f>
        <v>8</v>
      </c>
      <c r="L38" s="25" t="str">
        <f>IF(AND($D38="投手",LEFT($F38,3)="YES",OR($C38="MLB",$C38="3A",$C38="2A",$C38="日職一軍",$C38="韓職一軍",$C38="KBO")),COUNT($L$3:L37)+1,"")</f>
        <v/>
      </c>
      <c r="M38" s="25" t="str">
        <f>IF(AND($D38&lt;&gt;"投手",$D38&lt;&gt;"",LEFT($F38,3)="YES",OR($C38="MLB",$C38="3A",$C38="2A",$C38="日職一軍",$C38="韓職一軍",$C38="KBO")),COUNT($M$3:M37)+1,"")</f>
        <v/>
      </c>
      <c r="N38" s="69"/>
      <c r="O38" s="69"/>
      <c r="P38" s="69"/>
    </row>
    <row r="39" spans="1:26">
      <c r="A39" s="10" t="s">
        <v>80</v>
      </c>
      <c r="B39" s="10" t="str">
        <f>IFERROR(INDEX(總表!$B:$B,MATCH($A39,總表!$A:$A,0)),"")</f>
        <v>旅日</v>
      </c>
      <c r="C39" s="10" t="str">
        <f>IFERROR(INDEX(總表!$G:$G,MATCH($A39,總表!$A:$A,0)),"")</f>
        <v>日職二軍</v>
      </c>
      <c r="D39" s="78" t="str">
        <f>IFERROR(INDEX(總表!$C:$C,MATCH($A39,總表!$A:$A,0)),"")</f>
        <v>捕手</v>
      </c>
      <c r="E39" s="10" t="str">
        <f>IFERROR(INDEX(總表!$F:$F,MATCH($A39,總表!$A:$A,0)),"")</f>
        <v>北海道日本火腿鬥士</v>
      </c>
      <c r="F39" s="77" t="s">
        <v>56</v>
      </c>
      <c r="G39" s="1"/>
      <c r="H39" s="1"/>
      <c r="I39" s="75">
        <f t="shared" si="0"/>
        <v>4</v>
      </c>
      <c r="J39" s="75">
        <f t="array" ref="J39">IF($B39="旅美",1,IF($B39="旅日",2,IF($B39="旅韓",3,IF($B39="台裔",4,IF($B39&lt;&gt;"",5,99)))))</f>
        <v>2</v>
      </c>
      <c r="K39" s="1">
        <f t="array" ref="K39">IF($C39="MLB",1,IF($C39="3A",2,IF($C39="2A",3,IF(OR($C39="A+",$C39="高A"),4,IF($C39="1A",5,IF(OR($C39="RK",$C39="Rookie"),6,IF($C39="日職一軍",7,IF($C39="日職二軍",8,IF(OR($C39="韓職一軍",$C39="KBO"),9,IF($C39&lt;&gt;"",10,99))))))))))</f>
        <v>8</v>
      </c>
      <c r="L39" s="25" t="str">
        <f>IF(AND($D39="投手",LEFT($F39,3)="YES",OR($C39="MLB",$C39="3A",$C39="2A",$C39="日職一軍",$C39="韓職一軍",$C39="KBO")),COUNT($L$3:L38)+1,"")</f>
        <v/>
      </c>
      <c r="M39" s="25" t="str">
        <f>IF(AND($D39&lt;&gt;"投手",$D39&lt;&gt;"",LEFT($F39,3)="YES",OR($C39="MLB",$C39="3A",$C39="2A",$C39="日職一軍",$C39="韓職一軍",$C39="KBO")),COUNT($M$3:M38)+1,"")</f>
        <v/>
      </c>
      <c r="N39" s="69"/>
      <c r="O39" s="69"/>
      <c r="P39" s="69"/>
    </row>
    <row r="40" spans="1:26">
      <c r="A40" s="10" t="s">
        <v>81</v>
      </c>
      <c r="B40" s="10" t="str">
        <f>IFERROR(INDEX(總表!$B:$B,MATCH($A40,總表!$A:$A,0)),"")</f>
        <v>旅日</v>
      </c>
      <c r="C40" s="10" t="str">
        <f>IFERROR(INDEX(總表!$G:$G,MATCH($A40,總表!$A:$A,0)),"")</f>
        <v>日職二軍</v>
      </c>
      <c r="D40" s="78" t="str">
        <f>IFERROR(INDEX(總表!$C:$C,MATCH($A40,總表!$A:$A,0)),"")</f>
        <v>內野手</v>
      </c>
      <c r="E40" s="10" t="str">
        <f>IFERROR(INDEX(總表!$F:$F,MATCH($A40,總表!$A:$A,0)),"")</f>
        <v>東北樂天金鷲</v>
      </c>
      <c r="F40" s="77" t="s">
        <v>56</v>
      </c>
      <c r="G40" s="1"/>
      <c r="H40" s="1"/>
      <c r="I40" s="75">
        <f t="shared" si="0"/>
        <v>4</v>
      </c>
      <c r="J40" s="75">
        <f t="array" ref="J40">IF($B40="旅美",1,IF($B40="旅日",2,IF($B40="旅韓",3,IF($B40="台裔",4,IF($B40&lt;&gt;"",5,99)))))</f>
        <v>2</v>
      </c>
      <c r="K40" s="1">
        <f t="array" ref="K40">IF($C40="MLB",1,IF($C40="3A",2,IF($C40="2A",3,IF(OR($C40="A+",$C40="高A"),4,IF($C40="1A",5,IF(OR($C40="RK",$C40="Rookie"),6,IF($C40="日職一軍",7,IF($C40="日職二軍",8,IF(OR($C40="韓職一軍",$C40="KBO"),9,IF($C40&lt;&gt;"",10,99))))))))))</f>
        <v>8</v>
      </c>
      <c r="L40" s="25" t="str">
        <f>IF(AND($D40="投手",LEFT($F40,3)="YES",OR($C40="MLB",$C40="3A",$C40="2A",$C40="日職一軍",$C40="韓職一軍",$C40="KBO")),COUNT($L$3:L39)+1,"")</f>
        <v/>
      </c>
      <c r="M40" s="25" t="str">
        <f>IF(AND($D40&lt;&gt;"投手",$D40&lt;&gt;"",LEFT($F40,3)="YES",OR($C40="MLB",$C40="3A",$C40="2A",$C40="日職一軍",$C40="韓職一軍",$C40="KBO")),COUNT($M$3:M39)+1,"")</f>
        <v/>
      </c>
      <c r="N40" s="69"/>
      <c r="O40" s="69"/>
      <c r="P40" s="69"/>
    </row>
    <row r="41" spans="1:26">
      <c r="A41" s="1" t="s">
        <v>82</v>
      </c>
      <c r="B41" s="1" t="str">
        <f>IFERROR(INDEX(總表!$B:$B,MATCH($A41,總表!$A:$A,0)),"")</f>
        <v>台裔</v>
      </c>
      <c r="C41" s="25" t="str">
        <f>IFERROR(INDEX(總表!$G:$G,MATCH($A41,總表!$A:$A,0)),"")</f>
        <v>MLB</v>
      </c>
      <c r="D41" s="77" t="str">
        <f>IFERROR(INDEX(總表!$C:$C,MATCH($A41,總表!$A:$A,0)),"")</f>
        <v>外野手</v>
      </c>
      <c r="E41" s="1" t="str">
        <f>IFERROR(INDEX(總表!$F:$F,MATCH($A41,總表!$A:$A,0)),"")</f>
        <v>亞歷桑納響尾蛇</v>
      </c>
      <c r="F41" s="77" t="s">
        <v>35</v>
      </c>
      <c r="G41" s="1"/>
      <c r="H41" s="80" t="s">
        <v>83</v>
      </c>
      <c r="I41" s="75">
        <f t="shared" si="0"/>
        <v>4</v>
      </c>
      <c r="J41" s="75">
        <f t="array" ref="J41">IF($B41="旅美",1,IF($B41="旅日",2,IF($B41="旅韓",3,IF($B41="台裔",4,IF($B41&lt;&gt;"",5,99)))))</f>
        <v>4</v>
      </c>
      <c r="K41" s="1">
        <f t="array" ref="K41">IF($C41="MLB",1,IF($C41="3A",2,IF($C41="2A",3,IF(OR($C41="A+",$C41="高A"),4,IF($C41="1A",5,IF(OR($C41="RK",$C41="Rookie"),6,IF($C41="日職一軍",7,IF($C41="日職二軍",8,IF(OR($C41="韓職一軍",$C41="KBO"),9,IF($C41&lt;&gt;"",10,99))))))))))</f>
        <v>1</v>
      </c>
      <c r="L41" s="25" t="str">
        <f>IF(AND($D41="投手",LEFT($F41,3)="YES",OR($C41="MLB",$C41="3A",$C41="2A",$C41="日職一軍",$C41="韓職一軍",$C41="KBO")),COUNT($L$3:L40)+1,"")</f>
        <v/>
      </c>
      <c r="M41" s="25">
        <f>IF(AND($D41&lt;&gt;"投手",$D41&lt;&gt;"",LEFT($F41,3)="YES",OR($C41="MLB",$C41="3A",$C41="2A",$C41="日職一軍",$C41="韓職一軍",$C41="KBO")),COUNT($M$3:M40)+1,"")</f>
        <v>2</v>
      </c>
      <c r="N41" s="69"/>
      <c r="O41" s="69"/>
      <c r="P41" s="69"/>
    </row>
    <row r="42" spans="1:26">
      <c r="A42" s="1" t="s">
        <v>84</v>
      </c>
      <c r="B42" s="1" t="str">
        <f>IFERROR(INDEX(總表!$B:$B,MATCH($A42,總表!$A:$A,0)),"")</f>
        <v>台裔</v>
      </c>
      <c r="C42" s="1" t="str">
        <f>IFERROR(INDEX(總表!$G:$G,MATCH($A42,總表!$A:$A,0)),"")</f>
        <v>3A</v>
      </c>
      <c r="D42" s="77" t="str">
        <f>IFERROR(INDEX(總表!$C:$C,MATCH($A42,總表!$A:$A,0)),"")</f>
        <v>內野手</v>
      </c>
      <c r="E42" s="1" t="str">
        <f>IFERROR(INDEX(總表!$F:$F,MATCH($A42,總表!$A:$A,0)),"")</f>
        <v>芝加哥小熊</v>
      </c>
      <c r="F42" s="77" t="s">
        <v>35</v>
      </c>
      <c r="G42" s="1"/>
      <c r="H42" s="80" t="s">
        <v>85</v>
      </c>
      <c r="I42" s="75">
        <f t="shared" si="0"/>
        <v>4</v>
      </c>
      <c r="J42" s="75">
        <f t="array" ref="J42">IF($B42="旅美",1,IF($B42="旅日",2,IF($B42="旅韓",3,IF($B42="台裔",4,IF($B42&lt;&gt;"",5,99)))))</f>
        <v>4</v>
      </c>
      <c r="K42" s="1">
        <f t="array" ref="K42">IF($C42="MLB",1,IF($C42="3A",2,IF($C42="2A",3,IF(OR($C42="A+",$C42="高A"),4,IF($C42="1A",5,IF(OR($C42="RK",$C42="Rookie"),6,IF($C42="日職一軍",7,IF($C42="日職二軍",8,IF(OR($C42="韓職一軍",$C42="KBO"),9,IF($C42&lt;&gt;"",10,99))))))))))</f>
        <v>2</v>
      </c>
      <c r="L42" s="25" t="str">
        <f>IF(AND($D42="投手",LEFT($F42,3)="YES",OR($C42="MLB",$C42="3A",$C42="2A",$C42="日職一軍",$C42="韓職一軍",$C42="KBO")),COUNT($L$3:L41)+1,"")</f>
        <v/>
      </c>
      <c r="M42" s="25">
        <f>IF(AND($D42&lt;&gt;"投手",$D42&lt;&gt;"",LEFT($F42,3)="YES",OR($C42="MLB",$C42="3A",$C42="2A",$C42="日職一軍",$C42="韓職一軍",$C42="KBO")),COUNT($M$3:M41)+1,"")</f>
        <v>3</v>
      </c>
      <c r="N42" s="69"/>
      <c r="O42" s="69"/>
      <c r="P42" s="69"/>
    </row>
    <row r="43" spans="1:26">
      <c r="A43" s="1" t="s">
        <v>86</v>
      </c>
      <c r="B43" s="1" t="str">
        <f>IFERROR(INDEX(總表!$B:$B,MATCH($A43,總表!$A:$A,0)),"")</f>
        <v>台裔</v>
      </c>
      <c r="C43" s="1" t="str">
        <f>IFERROR(INDEX(總表!$G:$G,MATCH($A43,總表!$A:$A,0)),"")</f>
        <v>3A</v>
      </c>
      <c r="D43" s="77" t="str">
        <f>IFERROR(INDEX(總表!$C:$C,MATCH($A43,總表!$A:$A,0)),"")</f>
        <v>外野手</v>
      </c>
      <c r="E43" s="1" t="str">
        <f>IFERROR(INDEX(總表!$F:$F,MATCH($A43,總表!$A:$A,0)),"")</f>
        <v>克里夫蘭守護者</v>
      </c>
      <c r="F43" s="77" t="s">
        <v>56</v>
      </c>
      <c r="G43" s="1"/>
      <c r="I43" s="75">
        <f t="shared" si="0"/>
        <v>4</v>
      </c>
      <c r="J43" s="75">
        <f t="array" ref="J43">IF($B43="旅美",1,IF($B43="旅日",2,IF($B43="旅韓",3,IF($B43="台裔",4,IF($B43&lt;&gt;"",5,99)))))</f>
        <v>4</v>
      </c>
      <c r="K43" s="1">
        <f t="array" ref="K43">IF($C43="MLB",1,IF($C43="3A",2,IF($C43="2A",3,IF(OR($C43="A+",$C43="高A"),4,IF($C43="1A",5,IF(OR($C43="RK",$C43="Rookie"),6,IF($C43="日職一軍",7,IF($C43="日職二軍",8,IF(OR($C43="韓職一軍",$C43="KBO"),9,IF($C43&lt;&gt;"",10,99))))))))))</f>
        <v>2</v>
      </c>
      <c r="L43" s="25" t="str">
        <f>IF(AND($D43="投手",LEFT($F43,3)="YES",OR($C43="MLB",$C43="3A",$C43="2A",$C43="日職一軍",$C43="韓職一軍",$C43="KBO")),COUNT($L$3:L42)+1,"")</f>
        <v/>
      </c>
      <c r="M43" s="25" t="str">
        <f>IF(AND($D43&lt;&gt;"投手",$D43&lt;&gt;"",LEFT($F43,3)="YES",OR($C43="MLB",$C43="3A",$C43="2A",$C43="日職一軍",$C43="韓職一軍",$C43="KBO")),COUNT($M$3:M42)+1,"")</f>
        <v/>
      </c>
      <c r="N43" s="69"/>
      <c r="O43" s="69"/>
      <c r="P43" s="69"/>
    </row>
    <row r="44" spans="1:26">
      <c r="A44" s="1" t="s">
        <v>87</v>
      </c>
      <c r="B44" s="1" t="str">
        <f>IFERROR(INDEX(總表!$B:$B,MATCH($A44,總表!$A:$A,0)),"")</f>
        <v>台裔</v>
      </c>
      <c r="C44" s="1" t="str">
        <f>IFERROR(INDEX(總表!$G:$G,MATCH($A44,總表!$A:$A,0)),"")</f>
        <v>A+</v>
      </c>
      <c r="D44" s="77" t="str">
        <f>IFERROR(INDEX(總表!$C:$C,MATCH($A44,總表!$A:$A,0)),"")</f>
        <v>內野手</v>
      </c>
      <c r="E44" s="1" t="str">
        <f>IFERROR(INDEX(總表!$F:$F,MATCH($A44,總表!$A:$A,0)),"")</f>
        <v>紐約洋基</v>
      </c>
      <c r="F44" s="77" t="s">
        <v>35</v>
      </c>
      <c r="G44" s="1"/>
      <c r="H44" s="25" t="s">
        <v>88</v>
      </c>
      <c r="I44" s="75">
        <f t="shared" si="0"/>
        <v>4</v>
      </c>
      <c r="J44" s="75">
        <f t="array" ref="J44">IF($B44="旅美",1,IF($B44="旅日",2,IF($B44="旅韓",3,IF($B44="台裔",4,IF($B44&lt;&gt;"",5,99)))))</f>
        <v>4</v>
      </c>
      <c r="K44" s="1">
        <f t="array" ref="K44">IF($C44="MLB",1,IF($C44="3A",2,IF($C44="2A",3,IF(OR($C44="A+",$C44="高A"),4,IF($C44="1A",5,IF(OR($C44="RK",$C44="Rookie"),6,IF($C44="日職一軍",7,IF($C44="日職二軍",8,IF(OR($C44="韓職一軍",$C44="KBO"),9,IF($C44&lt;&gt;"",10,99))))))))))</f>
        <v>4</v>
      </c>
      <c r="L44" s="25" t="str">
        <f>IF(AND($D44="投手",LEFT($F44,3)="YES",OR($C44="MLB",$C44="3A",$C44="2A",$C44="日職一軍",$C44="韓職一軍",$C44="KBO")),COUNT($L$3:L43)+1,"")</f>
        <v/>
      </c>
      <c r="M44" s="25" t="str">
        <f>IF(AND($D44&lt;&gt;"投手",$D44&lt;&gt;"",LEFT($F44,3)="YES",OR($C44="MLB",$C44="3A",$C44="2A",$C44="日職一軍",$C44="韓職一軍",$C44="KBO")),COUNT($M$3:M43)+1,"")</f>
        <v/>
      </c>
      <c r="N44" s="69"/>
      <c r="O44" s="69"/>
      <c r="P44" s="69"/>
    </row>
    <row r="45" spans="1:26">
      <c r="A45" s="29"/>
      <c r="B45" s="29" t="str">
        <f>IFERROR(INDEX(總表!$B:$B,MATCH($A45,總表!$A:$A,0)),"")</f>
        <v/>
      </c>
      <c r="C45" s="29" t="str">
        <f>IFERROR(INDEX(總表!$G:$G,MATCH($A45,總表!$A:$A,0)),"")</f>
        <v/>
      </c>
      <c r="D45" s="29" t="str">
        <f>IFERROR(INDEX(總表!$C:$C,MATCH($A45,總表!$A:$A,0)),"")</f>
        <v/>
      </c>
      <c r="E45" s="29" t="str">
        <f>IFERROR(INDEX(總表!$F:$F,MATCH($A45,總表!$A:$A,0)),"")</f>
        <v/>
      </c>
      <c r="F45" s="29"/>
      <c r="G45" s="29"/>
      <c r="H45" s="29"/>
      <c r="I45" s="29">
        <f t="shared" si="0"/>
        <v>99</v>
      </c>
      <c r="J45" s="29">
        <f t="shared" ref="J45:J108" si="1">IF($B45="旅美",1,IF($B45="旅日",2,IF($B45="旅韓",3,IF($B45="台裔",4,IF($B45&lt;&gt;"",5,99)))))</f>
        <v>99</v>
      </c>
      <c r="K45" s="29">
        <f t="shared" ref="K45:K108" si="2">IF($C45="MLB",1,IF($C45="3A",2,IF($C45="2A",3,IF(OR($C45="A+",$C45="高A"),4,IF($C45="1A",5,IF(OR($C45="RK",$C45="Rookie"),6,IF($C45="日職一軍",7,IF($C45="日職二軍",8,IF(OR($C45="韓職一軍",$C45="KBO"),9,IF($C45&lt;&gt;"",10,99))))))))))</f>
        <v>99</v>
      </c>
      <c r="L45" s="29" t="str">
        <f>IF(AND($D45="投手",LEFT($F45,3)="YES",OR($C45="MLB",$C45="3A",$C45="2A",$C45="日職一軍",$C45="韓職一軍",$C45="KBO")),COUNT($L$3:L44)+1,"")</f>
        <v/>
      </c>
      <c r="M45" s="29" t="str">
        <f>IF(AND($D45&lt;&gt;"投手",$D45&lt;&gt;"",LEFT($F45,3)="YES",OR($C45="MLB",$C45="3A",$C45="2A",$C45="日職一軍",$C45="韓職一軍",$C45="KBO")),COUNT($M$3:M44)+1,"")</f>
        <v/>
      </c>
      <c r="N45" s="29" t="str">
        <f>IF(AND($D45="投手",$F45="YES",OR($C45="MLB",$C45="一軍",$C45="KBO",$C45="3A",$C45="2A")),COUNT($L$2:L44)+1,"")</f>
        <v/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>
      <c r="A46" s="29"/>
      <c r="B46" s="29" t="str">
        <f>IFERROR(INDEX(總表!$B:$B,MATCH($A46,總表!$A:$A,0)),"")</f>
        <v/>
      </c>
      <c r="C46" s="29" t="str">
        <f>IFERROR(INDEX(總表!$G:$G,MATCH($A46,總表!$A:$A,0)),"")</f>
        <v/>
      </c>
      <c r="D46" s="29" t="str">
        <f>IFERROR(INDEX(總表!$C:$C,MATCH($A46,總表!$A:$A,0)),"")</f>
        <v/>
      </c>
      <c r="E46" s="29" t="str">
        <f>IFERROR(INDEX(總表!$F:$F,MATCH($A46,總表!$A:$A,0)),"")</f>
        <v/>
      </c>
      <c r="F46" s="29"/>
      <c r="G46" s="29"/>
      <c r="H46" s="29"/>
      <c r="I46" s="29">
        <f t="shared" si="0"/>
        <v>99</v>
      </c>
      <c r="J46" s="29">
        <f t="shared" si="1"/>
        <v>99</v>
      </c>
      <c r="K46" s="29">
        <f t="shared" si="2"/>
        <v>99</v>
      </c>
      <c r="L46" s="29" t="str">
        <f>IF(AND($D46="投手",LEFT($F46,3)="YES",OR($C46="MLB",$C46="3A",$C46="2A",$C46="日職一軍",$C46="韓職一軍",$C46="KBO")),COUNT($L$3:L45)+1,"")</f>
        <v/>
      </c>
      <c r="M46" s="29" t="str">
        <f>IF(AND($D46&lt;&gt;"投手",$D46&lt;&gt;"",LEFT($F46,3)="YES",OR($C46="MLB",$C46="3A",$C46="2A",$C46="日職一軍",$C46="韓職一軍",$C46="KBO")),COUNT($M$3:M45)+1,"")</f>
        <v/>
      </c>
      <c r="N46" s="29" t="str">
        <f>IF(AND($D46="投手",$F46="YES",OR($C46="MLB",$C46="一軍",$C46="KBO",$C46="3A",$C46="2A")),COUNT($N$2:N45)+1,"")</f>
        <v/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>
      <c r="A47" s="29"/>
      <c r="B47" s="29" t="str">
        <f>IFERROR(INDEX(總表!$B:$B,MATCH($A47,總表!$A:$A,0)),"")</f>
        <v/>
      </c>
      <c r="C47" s="29" t="str">
        <f>IFERROR(INDEX(總表!$G:$G,MATCH($A47,總表!$A:$A,0)),"")</f>
        <v/>
      </c>
      <c r="D47" s="29" t="str">
        <f>IFERROR(INDEX(總表!$C:$C,MATCH($A47,總表!$A:$A,0)),"")</f>
        <v/>
      </c>
      <c r="E47" s="29" t="str">
        <f>IFERROR(INDEX(總表!$F:$F,MATCH($A47,總表!$A:$A,0)),"")</f>
        <v/>
      </c>
      <c r="F47" s="29"/>
      <c r="G47" s="29"/>
      <c r="H47" s="29"/>
      <c r="I47" s="29">
        <f t="shared" si="0"/>
        <v>99</v>
      </c>
      <c r="J47" s="29">
        <f t="shared" si="1"/>
        <v>99</v>
      </c>
      <c r="K47" s="29">
        <f t="shared" si="2"/>
        <v>99</v>
      </c>
      <c r="L47" s="29" t="str">
        <f>IF(AND($D47="投手",LEFT($F47,3)="YES",OR($C47="MLB",$C47="3A",$C47="2A",$C47="日職一軍",$C47="韓職一軍",$C47="KBO")),COUNT($L$3:L46)+1,"")</f>
        <v/>
      </c>
      <c r="M47" s="29" t="str">
        <f>IF(AND($D47&lt;&gt;"投手",$D47&lt;&gt;"",LEFT($F47,3)="YES",OR($C47="MLB",$C47="3A",$C47="2A",$C47="日職一軍",$C47="韓職一軍",$C47="KBO")),COUNT($M$3:M46)+1,"")</f>
        <v/>
      </c>
      <c r="N47" s="29" t="str">
        <f>IF(AND($D47="投手",$F47="YES",OR($C47="MLB",$C47="一軍",$C47="KBO",$C47="3A",$C47="2A")),COUNT($N$2:N46)+1,"")</f>
        <v/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>
      <c r="A48" s="29"/>
      <c r="B48" s="29" t="str">
        <f>IFERROR(INDEX(總表!$B:$B,MATCH($A48,總表!$A:$A,0)),"")</f>
        <v/>
      </c>
      <c r="C48" s="29" t="str">
        <f>IFERROR(INDEX(總表!$G:$G,MATCH($A48,總表!$A:$A,0)),"")</f>
        <v/>
      </c>
      <c r="D48" s="29" t="str">
        <f>IFERROR(INDEX(總表!$C:$C,MATCH($A48,總表!$A:$A,0)),"")</f>
        <v/>
      </c>
      <c r="E48" s="29" t="str">
        <f>IFERROR(INDEX(總表!$F:$F,MATCH($A48,總表!$A:$A,0)),"")</f>
        <v/>
      </c>
      <c r="F48" s="29"/>
      <c r="G48" s="29"/>
      <c r="H48" s="29"/>
      <c r="I48" s="29">
        <f t="shared" si="0"/>
        <v>99</v>
      </c>
      <c r="J48" s="29">
        <f t="shared" si="1"/>
        <v>99</v>
      </c>
      <c r="K48" s="29">
        <f t="shared" si="2"/>
        <v>99</v>
      </c>
      <c r="L48" s="29" t="str">
        <f>IF(AND($D48="投手",LEFT($F48,3)="YES",OR($C48="MLB",$C48="3A",$C48="2A",$C48="日職一軍",$C48="韓職一軍",$C48="KBO")),COUNT($L$3:L47)+1,"")</f>
        <v/>
      </c>
      <c r="M48" s="29" t="str">
        <f>IF(AND($D48&lt;&gt;"投手",$D48&lt;&gt;"",LEFT($F48,3)="YES",OR($C48="MLB",$C48="3A",$C48="2A",$C48="日職一軍",$C48="韓職一軍",$C48="KBO")),COUNT($M$3:M47)+1,"")</f>
        <v/>
      </c>
      <c r="N48" s="29" t="str">
        <f>IF(AND($D48="投手",$F48="YES",OR($C48="MLB",$C48="一軍",$C48="KBO",$C48="3A",$C48="2A")),COUNT($N$2:N47)+1,"")</f>
        <v/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>
      <c r="A49" s="29"/>
      <c r="B49" s="29" t="str">
        <f>IFERROR(INDEX(總表!$B:$B,MATCH($A49,總表!$A:$A,0)),"")</f>
        <v/>
      </c>
      <c r="C49" s="29" t="str">
        <f>IFERROR(INDEX(總表!$G:$G,MATCH($A49,總表!$A:$A,0)),"")</f>
        <v/>
      </c>
      <c r="D49" s="29" t="str">
        <f>IFERROR(INDEX(總表!$C:$C,MATCH($A49,總表!$A:$A,0)),"")</f>
        <v/>
      </c>
      <c r="E49" s="29" t="str">
        <f>IFERROR(INDEX(總表!$F:$F,MATCH($A49,總表!$A:$A,0)),"")</f>
        <v/>
      </c>
      <c r="F49" s="29"/>
      <c r="G49" s="29"/>
      <c r="H49" s="29"/>
      <c r="I49" s="29">
        <f t="shared" si="0"/>
        <v>99</v>
      </c>
      <c r="J49" s="29">
        <f t="shared" si="1"/>
        <v>99</v>
      </c>
      <c r="K49" s="29">
        <f t="shared" si="2"/>
        <v>99</v>
      </c>
      <c r="L49" s="29" t="str">
        <f>IF(AND($D49="投手",LEFT($F49,3)="YES",OR($C49="MLB",$C49="3A",$C49="2A",$C49="日職一軍",$C49="韓職一軍",$C49="KBO")),COUNT($L$3:L48)+1,"")</f>
        <v/>
      </c>
      <c r="M49" s="29" t="str">
        <f>IF(AND($D49&lt;&gt;"投手",$D49&lt;&gt;"",LEFT($F49,3)="YES",OR($C49="MLB",$C49="3A",$C49="2A",$C49="日職一軍",$C49="韓職一軍",$C49="KBO")),COUNT($M$3:M48)+1,"")</f>
        <v/>
      </c>
      <c r="N49" s="29" t="str">
        <f>IF(AND($D49="投手",$F49="YES",OR($C49="MLB",$C49="一軍",$C49="KBO",$C49="3A",$C49="2A")),COUNT($N$2:N48)+1,"")</f>
        <v/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>
      <c r="A50" s="29"/>
      <c r="B50" s="29" t="str">
        <f>IFERROR(INDEX(總表!$B:$B,MATCH($A50,總表!$A:$A,0)),"")</f>
        <v/>
      </c>
      <c r="C50" s="29" t="str">
        <f>IFERROR(INDEX(總表!$G:$G,MATCH($A50,總表!$A:$A,0)),"")</f>
        <v/>
      </c>
      <c r="D50" s="29" t="str">
        <f>IFERROR(INDEX(總表!$C:$C,MATCH($A50,總表!$A:$A,0)),"")</f>
        <v/>
      </c>
      <c r="E50" s="29" t="str">
        <f>IFERROR(INDEX(總表!$F:$F,MATCH($A50,總表!$A:$A,0)),"")</f>
        <v/>
      </c>
      <c r="F50" s="29"/>
      <c r="G50" s="29"/>
      <c r="H50" s="29"/>
      <c r="I50" s="29">
        <f t="shared" si="0"/>
        <v>99</v>
      </c>
      <c r="J50" s="29">
        <f t="shared" si="1"/>
        <v>99</v>
      </c>
      <c r="K50" s="29">
        <f t="shared" si="2"/>
        <v>99</v>
      </c>
      <c r="L50" s="29" t="str">
        <f>IF(AND($D50="投手",LEFT($F50,3)="YES",OR($C50="MLB",$C50="3A",$C50="2A",$C50="日職一軍",$C50="韓職一軍",$C50="KBO")),COUNT($L$3:L49)+1,"")</f>
        <v/>
      </c>
      <c r="M50" s="29" t="str">
        <f>IF(AND($D50&lt;&gt;"投手",$D50&lt;&gt;"",LEFT($F50,3)="YES",OR($C50="MLB",$C50="3A",$C50="2A",$C50="日職一軍",$C50="韓職一軍",$C50="KBO")),COUNT($M$3:M49)+1,"")</f>
        <v/>
      </c>
      <c r="N50" s="29" t="str">
        <f>IF(AND($D50="投手",$F50="YES",OR($C50="MLB",$C50="一軍",$C50="KBO",$C50="3A",$C50="2A")),COUNT($N$2:N49)+1,"")</f>
        <v/>
      </c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>
      <c r="A51" s="29"/>
      <c r="B51" s="29" t="str">
        <f>IFERROR(INDEX(總表!$B:$B,MATCH($A51,總表!$A:$A,0)),"")</f>
        <v/>
      </c>
      <c r="C51" s="29" t="str">
        <f>IFERROR(INDEX(總表!$G:$G,MATCH($A51,總表!$A:$A,0)),"")</f>
        <v/>
      </c>
      <c r="D51" s="29" t="str">
        <f>IFERROR(INDEX(總表!$C:$C,MATCH($A51,總表!$A:$A,0)),"")</f>
        <v/>
      </c>
      <c r="E51" s="29" t="str">
        <f>IFERROR(INDEX(總表!$F:$F,MATCH($A51,總表!$A:$A,0)),"")</f>
        <v/>
      </c>
      <c r="F51" s="29"/>
      <c r="G51" s="29"/>
      <c r="H51" s="29"/>
      <c r="I51" s="29">
        <f t="shared" si="0"/>
        <v>99</v>
      </c>
      <c r="J51" s="29">
        <f t="shared" si="1"/>
        <v>99</v>
      </c>
      <c r="K51" s="29">
        <f t="shared" si="2"/>
        <v>99</v>
      </c>
      <c r="L51" s="29" t="str">
        <f>IF(AND($D51="投手",LEFT($F51,3)="YES",OR($C51="MLB",$C51="3A",$C51="2A",$C51="日職一軍",$C51="韓職一軍",$C51="KBO")),COUNT($L$3:L50)+1,"")</f>
        <v/>
      </c>
      <c r="M51" s="29" t="str">
        <f>IF(AND($D51&lt;&gt;"投手",$D51&lt;&gt;"",LEFT($F51,3)="YES",OR($C51="MLB",$C51="3A",$C51="2A",$C51="日職一軍",$C51="韓職一軍",$C51="KBO")),COUNT($M$3:M50)+1,"")</f>
        <v/>
      </c>
      <c r="N51" s="29" t="str">
        <f>IF(AND($D51="投手",$F51="YES",OR($C51="MLB",$C51="一軍",$C51="KBO",$C51="3A",$C51="2A")),COUNT($N$2:N50)+1,"")</f>
        <v/>
      </c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>
      <c r="A52" s="29"/>
      <c r="B52" s="29" t="str">
        <f>IFERROR(INDEX(總表!$B:$B,MATCH($A52,總表!$A:$A,0)),"")</f>
        <v/>
      </c>
      <c r="C52" s="29" t="str">
        <f>IFERROR(INDEX(總表!$G:$G,MATCH($A52,總表!$A:$A,0)),"")</f>
        <v/>
      </c>
      <c r="D52" s="29" t="str">
        <f>IFERROR(INDEX(總表!$C:$C,MATCH($A52,總表!$A:$A,0)),"")</f>
        <v/>
      </c>
      <c r="E52" s="29" t="str">
        <f>IFERROR(INDEX(總表!$F:$F,MATCH($A52,總表!$A:$A,0)),"")</f>
        <v/>
      </c>
      <c r="F52" s="29"/>
      <c r="G52" s="29"/>
      <c r="H52" s="29"/>
      <c r="I52" s="29">
        <f t="shared" si="0"/>
        <v>99</v>
      </c>
      <c r="J52" s="29">
        <f t="shared" si="1"/>
        <v>99</v>
      </c>
      <c r="K52" s="29">
        <f t="shared" si="2"/>
        <v>99</v>
      </c>
      <c r="L52" s="29" t="str">
        <f>IF(AND($D52="投手",LEFT($F52,3)="YES",OR($C52="MLB",$C52="3A",$C52="2A",$C52="日職一軍",$C52="韓職一軍",$C52="KBO")),COUNT($L$3:L51)+1,"")</f>
        <v/>
      </c>
      <c r="M52" s="29" t="str">
        <f>IF(AND($D52&lt;&gt;"投手",$D52&lt;&gt;"",LEFT($F52,3)="YES",OR($C52="MLB",$C52="3A",$C52="2A",$C52="日職一軍",$C52="韓職一軍",$C52="KBO")),COUNT($M$3:M51)+1,"")</f>
        <v/>
      </c>
      <c r="N52" s="29" t="str">
        <f>IF(AND($D52="投手",$F52="YES",OR($C52="MLB",$C52="一軍",$C52="KBO",$C52="3A",$C52="2A")),COUNT($N$2:N51)+1,"")</f>
        <v/>
      </c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>
      <c r="A53" s="29"/>
      <c r="B53" s="29" t="str">
        <f>IFERROR(INDEX(總表!$B:$B,MATCH($A53,總表!$A:$A,0)),"")</f>
        <v/>
      </c>
      <c r="C53" s="29" t="str">
        <f>IFERROR(INDEX(總表!$G:$G,MATCH($A53,總表!$A:$A,0)),"")</f>
        <v/>
      </c>
      <c r="D53" s="29" t="str">
        <f>IFERROR(INDEX(總表!$C:$C,MATCH($A53,總表!$A:$A,0)),"")</f>
        <v/>
      </c>
      <c r="E53" s="29" t="str">
        <f>IFERROR(INDEX(總表!$F:$F,MATCH($A53,總表!$A:$A,0)),"")</f>
        <v/>
      </c>
      <c r="F53" s="29"/>
      <c r="G53" s="29"/>
      <c r="H53" s="29"/>
      <c r="I53" s="29">
        <f t="shared" si="0"/>
        <v>99</v>
      </c>
      <c r="J53" s="29">
        <f t="shared" si="1"/>
        <v>99</v>
      </c>
      <c r="K53" s="29">
        <f t="shared" si="2"/>
        <v>99</v>
      </c>
      <c r="L53" s="29" t="str">
        <f>IF(AND($D53="投手",LEFT($F53,3)="YES",OR($C53="MLB",$C53="3A",$C53="2A",$C53="日職一軍",$C53="韓職一軍",$C53="KBO")),COUNT($L$3:L52)+1,"")</f>
        <v/>
      </c>
      <c r="M53" s="29" t="str">
        <f>IF(AND($D53&lt;&gt;"投手",$D53&lt;&gt;"",LEFT($F53,3)="YES",OR($C53="MLB",$C53="3A",$C53="2A",$C53="日職一軍",$C53="韓職一軍",$C53="KBO")),COUNT($M$3:M52)+1,"")</f>
        <v/>
      </c>
      <c r="N53" s="29" t="str">
        <f>IF(AND($D53="投手",$F53="YES",OR($C53="MLB",$C53="一軍",$C53="KBO",$C53="3A",$C53="2A")),COUNT($N$2:N52)+1,"")</f>
        <v/>
      </c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>
      <c r="A54" s="29"/>
      <c r="B54" s="29" t="str">
        <f>IFERROR(INDEX(總表!$B:$B,MATCH($A54,總表!$A:$A,0)),"")</f>
        <v/>
      </c>
      <c r="C54" s="29" t="str">
        <f>IFERROR(INDEX(總表!$G:$G,MATCH($A54,總表!$A:$A,0)),"")</f>
        <v/>
      </c>
      <c r="D54" s="29" t="str">
        <f>IFERROR(INDEX(總表!$C:$C,MATCH($A54,總表!$A:$A,0)),"")</f>
        <v/>
      </c>
      <c r="E54" s="29" t="str">
        <f>IFERROR(INDEX(總表!$F:$F,MATCH($A54,總表!$A:$A,0)),"")</f>
        <v/>
      </c>
      <c r="F54" s="29"/>
      <c r="G54" s="29"/>
      <c r="H54" s="29"/>
      <c r="I54" s="29">
        <f t="shared" si="0"/>
        <v>99</v>
      </c>
      <c r="J54" s="29">
        <f t="shared" si="1"/>
        <v>99</v>
      </c>
      <c r="K54" s="29">
        <f t="shared" si="2"/>
        <v>99</v>
      </c>
      <c r="L54" s="29" t="str">
        <f>IF(AND($D54="投手",LEFT($F54,3)="YES",OR($C54="MLB",$C54="3A",$C54="2A",$C54="日職一軍",$C54="韓職一軍",$C54="KBO")),COUNT($L$3:L53)+1,"")</f>
        <v/>
      </c>
      <c r="M54" s="29" t="str">
        <f>IF(AND($D54&lt;&gt;"投手",$D54&lt;&gt;"",LEFT($F54,3)="YES",OR($C54="MLB",$C54="3A",$C54="2A",$C54="日職一軍",$C54="韓職一軍",$C54="KBO")),COUNT($M$3:M53)+1,"")</f>
        <v/>
      </c>
      <c r="N54" s="29" t="str">
        <f>IF(AND($D54="投手",$F54="YES",OR($C54="MLB",$C54="一軍",$C54="KBO",$C54="3A",$C54="2A")),COUNT($N$2:N53)+1,"")</f>
        <v/>
      </c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>
      <c r="A55" s="29"/>
      <c r="B55" s="29" t="str">
        <f>IFERROR(INDEX(總表!$B:$B,MATCH($A55,總表!$A:$A,0)),"")</f>
        <v/>
      </c>
      <c r="C55" s="29" t="str">
        <f>IFERROR(INDEX(總表!$G:$G,MATCH($A55,總表!$A:$A,0)),"")</f>
        <v/>
      </c>
      <c r="D55" s="29" t="str">
        <f>IFERROR(INDEX(總表!$C:$C,MATCH($A55,總表!$A:$A,0)),"")</f>
        <v/>
      </c>
      <c r="E55" s="29" t="str">
        <f>IFERROR(INDEX(總表!$F:$F,MATCH($A55,總表!$A:$A,0)),"")</f>
        <v/>
      </c>
      <c r="F55" s="29"/>
      <c r="G55" s="29"/>
      <c r="H55" s="29"/>
      <c r="I55" s="29">
        <f t="shared" si="0"/>
        <v>99</v>
      </c>
      <c r="J55" s="29">
        <f t="shared" si="1"/>
        <v>99</v>
      </c>
      <c r="K55" s="29">
        <f t="shared" si="2"/>
        <v>99</v>
      </c>
      <c r="L55" s="29" t="str">
        <f>IF(AND($D55="投手",LEFT($F55,3)="YES",OR($C55="MLB",$C55="3A",$C55="2A",$C55="日職一軍",$C55="韓職一軍",$C55="KBO")),COUNT($L$3:L54)+1,"")</f>
        <v/>
      </c>
      <c r="M55" s="29" t="str">
        <f>IF(AND($D55&lt;&gt;"投手",$D55&lt;&gt;"",LEFT($F55,3)="YES",OR($C55="MLB",$C55="3A",$C55="2A",$C55="日職一軍",$C55="韓職一軍",$C55="KBO")),COUNT($M$3:M54)+1,"")</f>
        <v/>
      </c>
      <c r="N55" s="29" t="str">
        <f>IF(AND($D55="投手",$F55="YES",OR($C55="MLB",$C55="一軍",$C55="KBO",$C55="3A",$C55="2A")),COUNT($N$2:N54)+1,"")</f>
        <v/>
      </c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>
      <c r="A56" s="29"/>
      <c r="B56" s="29" t="str">
        <f>IFERROR(INDEX(總表!$B:$B,MATCH($A56,總表!$A:$A,0)),"")</f>
        <v/>
      </c>
      <c r="C56" s="29" t="str">
        <f>IFERROR(INDEX(總表!$G:$G,MATCH($A56,總表!$A:$A,0)),"")</f>
        <v/>
      </c>
      <c r="D56" s="29" t="str">
        <f>IFERROR(INDEX(總表!$C:$C,MATCH($A56,總表!$A:$A,0)),"")</f>
        <v/>
      </c>
      <c r="E56" s="29" t="str">
        <f>IFERROR(INDEX(總表!$F:$F,MATCH($A56,總表!$A:$A,0)),"")</f>
        <v/>
      </c>
      <c r="F56" s="29"/>
      <c r="G56" s="29"/>
      <c r="H56" s="29"/>
      <c r="I56" s="29">
        <f t="shared" si="0"/>
        <v>99</v>
      </c>
      <c r="J56" s="29">
        <f t="shared" si="1"/>
        <v>99</v>
      </c>
      <c r="K56" s="29">
        <f t="shared" si="2"/>
        <v>99</v>
      </c>
      <c r="L56" s="29" t="str">
        <f>IF(AND($D56="投手",LEFT($F56,3)="YES",OR($C56="MLB",$C56="3A",$C56="2A",$C56="日職一軍",$C56="韓職一軍",$C56="KBO")),COUNT($L$3:L55)+1,"")</f>
        <v/>
      </c>
      <c r="M56" s="29" t="str">
        <f>IF(AND($D56&lt;&gt;"投手",$D56&lt;&gt;"",LEFT($F56,3)="YES",OR($C56="MLB",$C56="3A",$C56="2A",$C56="日職一軍",$C56="韓職一軍",$C56="KBO")),COUNT($M$3:M55)+1,"")</f>
        <v/>
      </c>
      <c r="N56" s="29" t="str">
        <f>IF(AND($D56="投手",$F56="YES",OR($C56="MLB",$C56="一軍",$C56="KBO",$C56="3A",$C56="2A")),COUNT($N$2:N55)+1,"")</f>
        <v/>
      </c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>
      <c r="A57" s="29"/>
      <c r="B57" s="29" t="str">
        <f>IFERROR(INDEX(總表!$B:$B,MATCH($A57,總表!$A:$A,0)),"")</f>
        <v/>
      </c>
      <c r="C57" s="29" t="str">
        <f>IFERROR(INDEX(總表!$G:$G,MATCH($A57,總表!$A:$A,0)),"")</f>
        <v/>
      </c>
      <c r="D57" s="29" t="str">
        <f>IFERROR(INDEX(總表!$C:$C,MATCH($A57,總表!$A:$A,0)),"")</f>
        <v/>
      </c>
      <c r="E57" s="29" t="str">
        <f>IFERROR(INDEX(總表!$F:$F,MATCH($A57,總表!$A:$A,0)),"")</f>
        <v/>
      </c>
      <c r="F57" s="29"/>
      <c r="G57" s="29"/>
      <c r="H57" s="29"/>
      <c r="I57" s="29">
        <f t="shared" si="0"/>
        <v>99</v>
      </c>
      <c r="J57" s="29">
        <f t="shared" si="1"/>
        <v>99</v>
      </c>
      <c r="K57" s="29">
        <f t="shared" si="2"/>
        <v>99</v>
      </c>
      <c r="L57" s="29" t="str">
        <f>IF(AND($D57="投手",LEFT($F57,3)="YES",OR($C57="MLB",$C57="3A",$C57="2A",$C57="日職一軍",$C57="韓職一軍",$C57="KBO")),COUNT($L$3:L56)+1,"")</f>
        <v/>
      </c>
      <c r="M57" s="29" t="str">
        <f>IF(AND($D57&lt;&gt;"投手",$D57&lt;&gt;"",LEFT($F57,3)="YES",OR($C57="MLB",$C57="3A",$C57="2A",$C57="日職一軍",$C57="韓職一軍",$C57="KBO")),COUNT($M$3:M56)+1,"")</f>
        <v/>
      </c>
      <c r="N57" s="29" t="str">
        <f>IF(AND($D57="投手",$F57="YES",OR($C57="MLB",$C57="一軍",$C57="KBO",$C57="3A",$C57="2A")),COUNT($N$2:N56)+1,"")</f>
        <v/>
      </c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>
      <c r="A58" s="29"/>
      <c r="B58" s="29" t="str">
        <f>IFERROR(INDEX(總表!$B:$B,MATCH($A58,總表!$A:$A,0)),"")</f>
        <v/>
      </c>
      <c r="C58" s="29" t="str">
        <f>IFERROR(INDEX(總表!$G:$G,MATCH($A58,總表!$A:$A,0)),"")</f>
        <v/>
      </c>
      <c r="D58" s="29" t="str">
        <f>IFERROR(INDEX(總表!$C:$C,MATCH($A58,總表!$A:$A,0)),"")</f>
        <v/>
      </c>
      <c r="E58" s="29" t="str">
        <f>IFERROR(INDEX(總表!$F:$F,MATCH($A58,總表!$A:$A,0)),"")</f>
        <v/>
      </c>
      <c r="F58" s="29"/>
      <c r="G58" s="29"/>
      <c r="H58" s="29"/>
      <c r="I58" s="29">
        <f t="shared" si="0"/>
        <v>99</v>
      </c>
      <c r="J58" s="29">
        <f t="shared" si="1"/>
        <v>99</v>
      </c>
      <c r="K58" s="29">
        <f t="shared" si="2"/>
        <v>99</v>
      </c>
      <c r="L58" s="29" t="str">
        <f>IF(AND($D58="投手",LEFT($F58,3)="YES",OR($C58="MLB",$C58="3A",$C58="2A",$C58="日職一軍",$C58="韓職一軍",$C58="KBO")),COUNT($L$3:L57)+1,"")</f>
        <v/>
      </c>
      <c r="M58" s="29" t="str">
        <f>IF(AND($D58&lt;&gt;"投手",$D58&lt;&gt;"",LEFT($F58,3)="YES",OR($C58="MLB",$C58="3A",$C58="2A",$C58="日職一軍",$C58="韓職一軍",$C58="KBO")),COUNT($M$3:M57)+1,"")</f>
        <v/>
      </c>
      <c r="N58" s="29" t="str">
        <f>IF(AND($D58="投手",$F58="YES",OR($C58="MLB",$C58="一軍",$C58="KBO",$C58="3A",$C58="2A")),COUNT($N$2:N57)+1,"")</f>
        <v/>
      </c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>
      <c r="A59" s="29"/>
      <c r="B59" s="29" t="str">
        <f>IFERROR(INDEX(總表!$B:$B,MATCH($A59,總表!$A:$A,0)),"")</f>
        <v/>
      </c>
      <c r="C59" s="29" t="str">
        <f>IFERROR(INDEX(總表!$G:$G,MATCH($A59,總表!$A:$A,0)),"")</f>
        <v/>
      </c>
      <c r="D59" s="29" t="str">
        <f>IFERROR(INDEX(總表!$C:$C,MATCH($A59,總表!$A:$A,0)),"")</f>
        <v/>
      </c>
      <c r="E59" s="29" t="str">
        <f>IFERROR(INDEX(總表!$F:$F,MATCH($A59,總表!$A:$A,0)),"")</f>
        <v/>
      </c>
      <c r="F59" s="29"/>
      <c r="G59" s="29"/>
      <c r="H59" s="29"/>
      <c r="I59" s="29">
        <f t="shared" si="0"/>
        <v>99</v>
      </c>
      <c r="J59" s="29">
        <f t="shared" si="1"/>
        <v>99</v>
      </c>
      <c r="K59" s="29">
        <f t="shared" si="2"/>
        <v>99</v>
      </c>
      <c r="L59" s="29" t="str">
        <f>IF(AND($D59="投手",LEFT($F59,3)="YES",OR($C59="MLB",$C59="3A",$C59="2A",$C59="日職一軍",$C59="韓職一軍",$C59="KBO")),COUNT($L$3:L58)+1,"")</f>
        <v/>
      </c>
      <c r="M59" s="29" t="str">
        <f>IF(AND($D59&lt;&gt;"投手",$D59&lt;&gt;"",LEFT($F59,3)="YES",OR($C59="MLB",$C59="3A",$C59="2A",$C59="日職一軍",$C59="韓職一軍",$C59="KBO")),COUNT($M$3:M58)+1,"")</f>
        <v/>
      </c>
      <c r="N59" s="29" t="str">
        <f>IF(AND($D59="投手",$F59="YES",OR($C59="MLB",$C59="一軍",$C59="KBO",$C59="3A",$C59="2A")),COUNT($N$2:N58)+1,"")</f>
        <v/>
      </c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>
      <c r="A60" s="29"/>
      <c r="B60" s="29" t="str">
        <f>IFERROR(INDEX(總表!$B:$B,MATCH($A60,總表!$A:$A,0)),"")</f>
        <v/>
      </c>
      <c r="C60" s="29" t="str">
        <f>IFERROR(INDEX(總表!$G:$G,MATCH($A60,總表!$A:$A,0)),"")</f>
        <v/>
      </c>
      <c r="D60" s="29" t="str">
        <f>IFERROR(INDEX(總表!$C:$C,MATCH($A60,總表!$A:$A,0)),"")</f>
        <v/>
      </c>
      <c r="E60" s="29" t="str">
        <f>IFERROR(INDEX(總表!$F:$F,MATCH($A60,總表!$A:$A,0)),"")</f>
        <v/>
      </c>
      <c r="F60" s="29"/>
      <c r="G60" s="29"/>
      <c r="H60" s="29"/>
      <c r="I60" s="29">
        <f t="shared" si="0"/>
        <v>99</v>
      </c>
      <c r="J60" s="29">
        <f t="shared" si="1"/>
        <v>99</v>
      </c>
      <c r="K60" s="29">
        <f t="shared" si="2"/>
        <v>99</v>
      </c>
      <c r="L60" s="29" t="str">
        <f>IF(AND($D60="投手",LEFT($F60,3)="YES",OR($C60="MLB",$C60="3A",$C60="2A",$C60="日職一軍",$C60="韓職一軍",$C60="KBO")),COUNT($L$3:L59)+1,"")</f>
        <v/>
      </c>
      <c r="M60" s="29" t="str">
        <f>IF(AND($D60&lt;&gt;"投手",$D60&lt;&gt;"",LEFT($F60,3)="YES",OR($C60="MLB",$C60="3A",$C60="2A",$C60="日職一軍",$C60="韓職一軍",$C60="KBO")),COUNT($M$3:M59)+1,"")</f>
        <v/>
      </c>
      <c r="N60" s="29" t="str">
        <f>IF(AND($D60="投手",$F60="YES",OR($C60="MLB",$C60="一軍",$C60="KBO",$C60="3A",$C60="2A")),COUNT($N$2:N59)+1,"")</f>
        <v/>
      </c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>
      <c r="A61" s="29"/>
      <c r="B61" s="29" t="str">
        <f>IFERROR(INDEX(總表!$B:$B,MATCH($A61,總表!$A:$A,0)),"")</f>
        <v/>
      </c>
      <c r="C61" s="29" t="str">
        <f>IFERROR(INDEX(總表!$G:$G,MATCH($A61,總表!$A:$A,0)),"")</f>
        <v/>
      </c>
      <c r="D61" s="29" t="str">
        <f>IFERROR(INDEX(總表!$C:$C,MATCH($A61,總表!$A:$A,0)),"")</f>
        <v/>
      </c>
      <c r="E61" s="29" t="str">
        <f>IFERROR(INDEX(總表!$F:$F,MATCH($A61,總表!$A:$A,0)),"")</f>
        <v/>
      </c>
      <c r="F61" s="29"/>
      <c r="G61" s="29"/>
      <c r="H61" s="29"/>
      <c r="I61" s="29">
        <f t="shared" si="0"/>
        <v>99</v>
      </c>
      <c r="J61" s="29">
        <f t="shared" si="1"/>
        <v>99</v>
      </c>
      <c r="K61" s="29">
        <f t="shared" si="2"/>
        <v>99</v>
      </c>
      <c r="L61" s="29" t="str">
        <f>IF(AND($D61="投手",LEFT($F61,3)="YES",OR($C61="MLB",$C61="3A",$C61="2A",$C61="日職一軍",$C61="韓職一軍",$C61="KBO")),COUNT($L$3:L60)+1,"")</f>
        <v/>
      </c>
      <c r="M61" s="29" t="str">
        <f>IF(AND($D61&lt;&gt;"投手",$D61&lt;&gt;"",LEFT($F61,3)="YES",OR($C61="MLB",$C61="3A",$C61="2A",$C61="日職一軍",$C61="韓職一軍",$C61="KBO")),COUNT($M$3:M60)+1,"")</f>
        <v/>
      </c>
      <c r="N61" s="29" t="str">
        <f>IF(AND($D61="投手",$F61="YES",OR($C61="MLB",$C61="一軍",$C61="KBO",$C61="3A",$C61="2A")),COUNT($N$2:N60)+1,"")</f>
        <v/>
      </c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>
      <c r="A62" s="29"/>
      <c r="B62" s="29" t="str">
        <f>IFERROR(INDEX(總表!$B:$B,MATCH($A62,總表!$A:$A,0)),"")</f>
        <v/>
      </c>
      <c r="C62" s="29" t="str">
        <f>IFERROR(INDEX(總表!$G:$G,MATCH($A62,總表!$A:$A,0)),"")</f>
        <v/>
      </c>
      <c r="D62" s="29" t="str">
        <f>IFERROR(INDEX(總表!$C:$C,MATCH($A62,總表!$A:$A,0)),"")</f>
        <v/>
      </c>
      <c r="E62" s="29" t="str">
        <f>IFERROR(INDEX(總表!$F:$F,MATCH($A62,總表!$A:$A,0)),"")</f>
        <v/>
      </c>
      <c r="F62" s="29"/>
      <c r="G62" s="29"/>
      <c r="H62" s="29"/>
      <c r="I62" s="29">
        <f t="shared" si="0"/>
        <v>99</v>
      </c>
      <c r="J62" s="29">
        <f t="shared" si="1"/>
        <v>99</v>
      </c>
      <c r="K62" s="29">
        <f t="shared" si="2"/>
        <v>99</v>
      </c>
      <c r="L62" s="29" t="str">
        <f>IF(AND($D62="投手",LEFT($F62,3)="YES",OR($C62="MLB",$C62="3A",$C62="2A",$C62="日職一軍",$C62="韓職一軍",$C62="KBO")),COUNT($L$3:L61)+1,"")</f>
        <v/>
      </c>
      <c r="M62" s="29" t="str">
        <f>IF(AND($D62&lt;&gt;"投手",$D62&lt;&gt;"",LEFT($F62,3)="YES",OR($C62="MLB",$C62="3A",$C62="2A",$C62="日職一軍",$C62="韓職一軍",$C62="KBO")),COUNT($M$3:M61)+1,"")</f>
        <v/>
      </c>
      <c r="N62" s="29" t="str">
        <f>IF(AND($D62="投手",$F62="YES",OR($C62="MLB",$C62="一軍",$C62="KBO",$C62="3A",$C62="2A")),COUNT($N$2:N61)+1,"")</f>
        <v/>
      </c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>
      <c r="A63" s="29"/>
      <c r="B63" s="29" t="str">
        <f>IFERROR(INDEX(總表!$B:$B,MATCH($A63,總表!$A:$A,0)),"")</f>
        <v/>
      </c>
      <c r="C63" s="29" t="str">
        <f>IFERROR(INDEX(總表!$G:$G,MATCH($A63,總表!$A:$A,0)),"")</f>
        <v/>
      </c>
      <c r="D63" s="29" t="str">
        <f>IFERROR(INDEX(總表!$C:$C,MATCH($A63,總表!$A:$A,0)),"")</f>
        <v/>
      </c>
      <c r="E63" s="29" t="str">
        <f>IFERROR(INDEX(總表!$F:$F,MATCH($A63,總表!$A:$A,0)),"")</f>
        <v/>
      </c>
      <c r="F63" s="29"/>
      <c r="G63" s="29"/>
      <c r="H63" s="29"/>
      <c r="I63" s="29">
        <f t="shared" si="0"/>
        <v>99</v>
      </c>
      <c r="J63" s="29">
        <f t="shared" si="1"/>
        <v>99</v>
      </c>
      <c r="K63" s="29">
        <f t="shared" si="2"/>
        <v>99</v>
      </c>
      <c r="L63" s="29" t="str">
        <f>IF(AND($D63="投手",LEFT($F63,3)="YES",OR($C63="MLB",$C63="3A",$C63="2A",$C63="日職一軍",$C63="韓職一軍",$C63="KBO")),COUNT($L$3:L62)+1,"")</f>
        <v/>
      </c>
      <c r="M63" s="29" t="str">
        <f>IF(AND($D63&lt;&gt;"投手",$D63&lt;&gt;"",LEFT($F63,3)="YES",OR($C63="MLB",$C63="3A",$C63="2A",$C63="日職一軍",$C63="韓職一軍",$C63="KBO")),COUNT($M$3:M62)+1,"")</f>
        <v/>
      </c>
      <c r="N63" s="29" t="str">
        <f>IF(AND($D63="投手",$F63="YES",OR($C63="MLB",$C63="一軍",$C63="KBO",$C63="3A",$C63="2A")),COUNT($N$2:N62)+1,"")</f>
        <v/>
      </c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>
      <c r="A64" s="29"/>
      <c r="B64" s="29" t="str">
        <f>IFERROR(INDEX(總表!$B:$B,MATCH($A64,總表!$A:$A,0)),"")</f>
        <v/>
      </c>
      <c r="C64" s="29" t="str">
        <f>IFERROR(INDEX(總表!$G:$G,MATCH($A64,總表!$A:$A,0)),"")</f>
        <v/>
      </c>
      <c r="D64" s="29" t="str">
        <f>IFERROR(INDEX(總表!$C:$C,MATCH($A64,總表!$A:$A,0)),"")</f>
        <v/>
      </c>
      <c r="E64" s="29" t="str">
        <f>IFERROR(INDEX(總表!$F:$F,MATCH($A64,總表!$A:$A,0)),"")</f>
        <v/>
      </c>
      <c r="F64" s="29"/>
      <c r="G64" s="29"/>
      <c r="H64" s="29"/>
      <c r="I64" s="29">
        <f t="shared" si="0"/>
        <v>99</v>
      </c>
      <c r="J64" s="29">
        <f t="shared" si="1"/>
        <v>99</v>
      </c>
      <c r="K64" s="29">
        <f t="shared" si="2"/>
        <v>99</v>
      </c>
      <c r="L64" s="29" t="str">
        <f>IF(AND($D64="投手",LEFT($F64,3)="YES",OR($C64="MLB",$C64="3A",$C64="2A",$C64="日職一軍",$C64="韓職一軍",$C64="KBO")),COUNT($L$3:L63)+1,"")</f>
        <v/>
      </c>
      <c r="M64" s="29" t="str">
        <f>IF(AND($D64&lt;&gt;"投手",$D64&lt;&gt;"",LEFT($F64,3)="YES",OR($C64="MLB",$C64="3A",$C64="2A",$C64="日職一軍",$C64="韓職一軍",$C64="KBO")),COUNT($M$3:M63)+1,"")</f>
        <v/>
      </c>
      <c r="N64" s="29" t="str">
        <f>IF(AND($D64="投手",$F64="YES",OR($C64="MLB",$C64="一軍",$C64="KBO",$C64="3A",$C64="2A")),COUNT($N$2:N63)+1,"")</f>
        <v/>
      </c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>
      <c r="A65" s="29"/>
      <c r="B65" s="29" t="str">
        <f>IFERROR(INDEX(總表!$B:$B,MATCH($A65,總表!$A:$A,0)),"")</f>
        <v/>
      </c>
      <c r="C65" s="29" t="str">
        <f>IFERROR(INDEX(總表!$G:$G,MATCH($A65,總表!$A:$A,0)),"")</f>
        <v/>
      </c>
      <c r="D65" s="29" t="str">
        <f>IFERROR(INDEX(總表!$C:$C,MATCH($A65,總表!$A:$A,0)),"")</f>
        <v/>
      </c>
      <c r="E65" s="29" t="str">
        <f>IFERROR(INDEX(總表!$F:$F,MATCH($A65,總表!$A:$A,0)),"")</f>
        <v/>
      </c>
      <c r="F65" s="29"/>
      <c r="G65" s="29"/>
      <c r="H65" s="29"/>
      <c r="I65" s="29">
        <f t="shared" si="0"/>
        <v>99</v>
      </c>
      <c r="J65" s="29">
        <f t="shared" si="1"/>
        <v>99</v>
      </c>
      <c r="K65" s="29">
        <f t="shared" si="2"/>
        <v>99</v>
      </c>
      <c r="L65" s="29" t="str">
        <f>IF(AND($D65="投手",LEFT($F65,3)="YES",OR($C65="MLB",$C65="3A",$C65="2A",$C65="日職一軍",$C65="韓職一軍",$C65="KBO")),COUNT($L$3:L64)+1,"")</f>
        <v/>
      </c>
      <c r="M65" s="29" t="str">
        <f>IF(AND($D65&lt;&gt;"投手",$D65&lt;&gt;"",LEFT($F65,3)="YES",OR($C65="MLB",$C65="3A",$C65="2A",$C65="日職一軍",$C65="韓職一軍",$C65="KBO")),COUNT($M$3:M64)+1,"")</f>
        <v/>
      </c>
      <c r="N65" s="29" t="str">
        <f>IF(AND($D65="投手",$F65="YES",OR($C65="MLB",$C65="一軍",$C65="KBO",$C65="3A",$C65="2A")),COUNT($N$2:N64)+1,"")</f>
        <v/>
      </c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>
      <c r="A66" s="29"/>
      <c r="B66" s="29" t="str">
        <f>IFERROR(INDEX(總表!$B:$B,MATCH($A66,總表!$A:$A,0)),"")</f>
        <v/>
      </c>
      <c r="C66" s="29" t="str">
        <f>IFERROR(INDEX(總表!$G:$G,MATCH($A66,總表!$A:$A,0)),"")</f>
        <v/>
      </c>
      <c r="D66" s="29" t="str">
        <f>IFERROR(INDEX(總表!$C:$C,MATCH($A66,總表!$A:$A,0)),"")</f>
        <v/>
      </c>
      <c r="E66" s="29" t="str">
        <f>IFERROR(INDEX(總表!$F:$F,MATCH($A66,總表!$A:$A,0)),"")</f>
        <v/>
      </c>
      <c r="F66" s="29"/>
      <c r="G66" s="29"/>
      <c r="H66" s="29"/>
      <c r="I66" s="29">
        <f t="shared" si="0"/>
        <v>99</v>
      </c>
      <c r="J66" s="29">
        <f t="shared" si="1"/>
        <v>99</v>
      </c>
      <c r="K66" s="29">
        <f t="shared" si="2"/>
        <v>99</v>
      </c>
      <c r="L66" s="29" t="str">
        <f>IF(AND($D66="投手",LEFT($F66,3)="YES",OR($C66="MLB",$C66="3A",$C66="2A",$C66="日職一軍",$C66="韓職一軍",$C66="KBO")),COUNT($L$3:L65)+1,"")</f>
        <v/>
      </c>
      <c r="M66" s="29" t="str">
        <f>IF(AND($D66&lt;&gt;"投手",$D66&lt;&gt;"",LEFT($F66,3)="YES",OR($C66="MLB",$C66="3A",$C66="2A",$C66="日職一軍",$C66="韓職一軍",$C66="KBO")),COUNT($M$3:M65)+1,"")</f>
        <v/>
      </c>
      <c r="N66" s="29" t="str">
        <f>IF(AND($D66="投手",$F66="YES",OR($C66="MLB",$C66="一軍",$C66="KBO",$C66="3A",$C66="2A")),COUNT($N$2:N65)+1,"")</f>
        <v/>
      </c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>
      <c r="A67" s="29"/>
      <c r="B67" s="29" t="str">
        <f>IFERROR(INDEX(總表!$B:$B,MATCH($A67,總表!$A:$A,0)),"")</f>
        <v/>
      </c>
      <c r="C67" s="29" t="str">
        <f>IFERROR(INDEX(總表!$G:$G,MATCH($A67,總表!$A:$A,0)),"")</f>
        <v/>
      </c>
      <c r="D67" s="29" t="str">
        <f>IFERROR(INDEX(總表!$C:$C,MATCH($A67,總表!$A:$A,0)),"")</f>
        <v/>
      </c>
      <c r="E67" s="29" t="str">
        <f>IFERROR(INDEX(總表!$F:$F,MATCH($A67,總表!$A:$A,0)),"")</f>
        <v/>
      </c>
      <c r="F67" s="29"/>
      <c r="G67" s="29"/>
      <c r="H67" s="29"/>
      <c r="I67" s="29">
        <f t="shared" ref="I67:I130" si="3">IF($A67="投手",1,IF($D67="投手",2,IF($A67="野手",3,IF(OR($D67="野手",$D67="內野手",$D67="外野手",$D67="捕手"),4,99))))</f>
        <v>99</v>
      </c>
      <c r="J67" s="29">
        <f t="shared" si="1"/>
        <v>99</v>
      </c>
      <c r="K67" s="29">
        <f t="shared" si="2"/>
        <v>99</v>
      </c>
      <c r="L67" s="29" t="str">
        <f>IF(AND($D67="投手",LEFT($F67,3)="YES",OR($C67="MLB",$C67="3A",$C67="2A",$C67="日職一軍",$C67="韓職一軍",$C67="KBO")),COUNT($L$3:L66)+1,"")</f>
        <v/>
      </c>
      <c r="M67" s="29" t="str">
        <f>IF(AND($D67&lt;&gt;"投手",$D67&lt;&gt;"",LEFT($F67,3)="YES",OR($C67="MLB",$C67="3A",$C67="2A",$C67="日職一軍",$C67="韓職一軍",$C67="KBO")),COUNT($M$3:M66)+1,"")</f>
        <v/>
      </c>
      <c r="N67" s="29" t="str">
        <f>IF(AND($D67="投手",$F67="YES",OR($C67="MLB",$C67="一軍",$C67="KBO",$C67="3A",$C67="2A")),COUNT($N$2:N66)+1,"")</f>
        <v/>
      </c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>
      <c r="A68" s="29"/>
      <c r="B68" s="29" t="str">
        <f>IFERROR(INDEX(總表!$B:$B,MATCH($A68,總表!$A:$A,0)),"")</f>
        <v/>
      </c>
      <c r="C68" s="29" t="str">
        <f>IFERROR(INDEX(總表!$G:$G,MATCH($A68,總表!$A:$A,0)),"")</f>
        <v/>
      </c>
      <c r="D68" s="29" t="str">
        <f>IFERROR(INDEX(總表!$C:$C,MATCH($A68,總表!$A:$A,0)),"")</f>
        <v/>
      </c>
      <c r="E68" s="29" t="str">
        <f>IFERROR(INDEX(總表!$F:$F,MATCH($A68,總表!$A:$A,0)),"")</f>
        <v/>
      </c>
      <c r="F68" s="29"/>
      <c r="G68" s="29"/>
      <c r="H68" s="29"/>
      <c r="I68" s="29">
        <f t="shared" si="3"/>
        <v>99</v>
      </c>
      <c r="J68" s="29">
        <f t="shared" si="1"/>
        <v>99</v>
      </c>
      <c r="K68" s="29">
        <f t="shared" si="2"/>
        <v>99</v>
      </c>
      <c r="L68" s="29" t="str">
        <f>IF(AND($D68="投手",LEFT($F68,3)="YES",OR($C68="MLB",$C68="3A",$C68="2A",$C68="日職一軍",$C68="韓職一軍",$C68="KBO")),COUNT($L$3:L67)+1,"")</f>
        <v/>
      </c>
      <c r="M68" s="29" t="str">
        <f>IF(AND($D68&lt;&gt;"投手",$D68&lt;&gt;"",LEFT($F68,3)="YES",OR($C68="MLB",$C68="3A",$C68="2A",$C68="日職一軍",$C68="韓職一軍",$C68="KBO")),COUNT($M$3:M67)+1,"")</f>
        <v/>
      </c>
      <c r="N68" s="29" t="str">
        <f>IF(AND($D68="投手",$F68="YES",OR($C68="MLB",$C68="一軍",$C68="KBO",$C68="3A",$C68="2A")),COUNT($N$2:N67)+1,"")</f>
        <v/>
      </c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>
      <c r="A69" s="29"/>
      <c r="B69" s="29" t="str">
        <f>IFERROR(INDEX(總表!$B:$B,MATCH($A69,總表!$A:$A,0)),"")</f>
        <v/>
      </c>
      <c r="C69" s="29" t="str">
        <f>IFERROR(INDEX(總表!$G:$G,MATCH($A69,總表!$A:$A,0)),"")</f>
        <v/>
      </c>
      <c r="D69" s="29" t="str">
        <f>IFERROR(INDEX(總表!$C:$C,MATCH($A69,總表!$A:$A,0)),"")</f>
        <v/>
      </c>
      <c r="E69" s="29" t="str">
        <f>IFERROR(INDEX(總表!$F:$F,MATCH($A69,總表!$A:$A,0)),"")</f>
        <v/>
      </c>
      <c r="F69" s="29"/>
      <c r="G69" s="29"/>
      <c r="H69" s="29"/>
      <c r="I69" s="29">
        <f t="shared" si="3"/>
        <v>99</v>
      </c>
      <c r="J69" s="29">
        <f t="shared" si="1"/>
        <v>99</v>
      </c>
      <c r="K69" s="29">
        <f t="shared" si="2"/>
        <v>99</v>
      </c>
      <c r="L69" s="29" t="str">
        <f>IF(AND($D69="投手",LEFT($F69,3)="YES",OR($C69="MLB",$C69="3A",$C69="2A",$C69="日職一軍",$C69="韓職一軍",$C69="KBO")),COUNT($L$3:L68)+1,"")</f>
        <v/>
      </c>
      <c r="M69" s="29" t="str">
        <f>IF(AND($D69&lt;&gt;"投手",$D69&lt;&gt;"",LEFT($F69,3)="YES",OR($C69="MLB",$C69="3A",$C69="2A",$C69="日職一軍",$C69="韓職一軍",$C69="KBO")),COUNT($M$3:M68)+1,"")</f>
        <v/>
      </c>
      <c r="N69" s="29" t="str">
        <f>IF(AND($D69="投手",$F69="YES",OR($C69="MLB",$C69="一軍",$C69="KBO",$C69="3A",$C69="2A")),COUNT($N$2:N68)+1,"")</f>
        <v/>
      </c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>
      <c r="A70" s="29"/>
      <c r="B70" s="29" t="str">
        <f>IFERROR(INDEX(總表!$B:$B,MATCH($A70,總表!$A:$A,0)),"")</f>
        <v/>
      </c>
      <c r="C70" s="29" t="str">
        <f>IFERROR(INDEX(總表!$G:$G,MATCH($A70,總表!$A:$A,0)),"")</f>
        <v/>
      </c>
      <c r="D70" s="29" t="str">
        <f>IFERROR(INDEX(總表!$C:$C,MATCH($A70,總表!$A:$A,0)),"")</f>
        <v/>
      </c>
      <c r="E70" s="29" t="str">
        <f>IFERROR(INDEX(總表!$F:$F,MATCH($A70,總表!$A:$A,0)),"")</f>
        <v/>
      </c>
      <c r="F70" s="29"/>
      <c r="G70" s="29"/>
      <c r="H70" s="29"/>
      <c r="I70" s="29">
        <f t="shared" si="3"/>
        <v>99</v>
      </c>
      <c r="J70" s="29">
        <f t="shared" si="1"/>
        <v>99</v>
      </c>
      <c r="K70" s="29">
        <f t="shared" si="2"/>
        <v>99</v>
      </c>
      <c r="L70" s="29" t="str">
        <f>IF(AND($D70="投手",LEFT($F70,3)="YES",OR($C70="MLB",$C70="3A",$C70="2A",$C70="日職一軍",$C70="韓職一軍",$C70="KBO")),COUNT($L$3:L69)+1,"")</f>
        <v/>
      </c>
      <c r="M70" s="29" t="str">
        <f>IF(AND($D70&lt;&gt;"投手",$D70&lt;&gt;"",LEFT($F70,3)="YES",OR($C70="MLB",$C70="3A",$C70="2A",$C70="日職一軍",$C70="韓職一軍",$C70="KBO")),COUNT($M$3:M69)+1,"")</f>
        <v/>
      </c>
      <c r="N70" s="29" t="str">
        <f>IF(AND($D70="投手",$F70="YES",OR($C70="MLB",$C70="一軍",$C70="KBO",$C70="3A",$C70="2A")),COUNT($N$2:N69)+1,"")</f>
        <v/>
      </c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>
      <c r="A71" s="29"/>
      <c r="B71" s="29" t="str">
        <f>IFERROR(INDEX(總表!$B:$B,MATCH($A71,總表!$A:$A,0)),"")</f>
        <v/>
      </c>
      <c r="C71" s="29" t="str">
        <f>IFERROR(INDEX(總表!$G:$G,MATCH($A71,總表!$A:$A,0)),"")</f>
        <v/>
      </c>
      <c r="D71" s="29" t="str">
        <f>IFERROR(INDEX(總表!$C:$C,MATCH($A71,總表!$A:$A,0)),"")</f>
        <v/>
      </c>
      <c r="E71" s="29" t="str">
        <f>IFERROR(INDEX(總表!$F:$F,MATCH($A71,總表!$A:$A,0)),"")</f>
        <v/>
      </c>
      <c r="F71" s="29"/>
      <c r="G71" s="29"/>
      <c r="H71" s="29"/>
      <c r="I71" s="29">
        <f t="shared" si="3"/>
        <v>99</v>
      </c>
      <c r="J71" s="29">
        <f t="shared" si="1"/>
        <v>99</v>
      </c>
      <c r="K71" s="29">
        <f t="shared" si="2"/>
        <v>99</v>
      </c>
      <c r="L71" s="29" t="str">
        <f>IF(AND($D71="投手",LEFT($F71,3)="YES",OR($C71="MLB",$C71="3A",$C71="2A",$C71="日職一軍",$C71="韓職一軍",$C71="KBO")),COUNT($L$3:L70)+1,"")</f>
        <v/>
      </c>
      <c r="M71" s="29" t="str">
        <f>IF(AND($D71&lt;&gt;"投手",$D71&lt;&gt;"",LEFT($F71,3)="YES",OR($C71="MLB",$C71="3A",$C71="2A",$C71="日職一軍",$C71="韓職一軍",$C71="KBO")),COUNT($M$3:M70)+1,"")</f>
        <v/>
      </c>
      <c r="N71" s="29" t="str">
        <f>IF(AND($D71="投手",$F71="YES",OR($C71="MLB",$C71="一軍",$C71="KBO",$C71="3A",$C71="2A")),COUNT($N$2:N70)+1,"")</f>
        <v/>
      </c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>
      <c r="A72" s="29"/>
      <c r="B72" s="29" t="str">
        <f>IFERROR(INDEX(總表!$B:$B,MATCH($A72,總表!$A:$A,0)),"")</f>
        <v/>
      </c>
      <c r="C72" s="29" t="str">
        <f>IFERROR(INDEX(總表!$G:$G,MATCH($A72,總表!$A:$A,0)),"")</f>
        <v/>
      </c>
      <c r="D72" s="29" t="str">
        <f>IFERROR(INDEX(總表!$C:$C,MATCH($A72,總表!$A:$A,0)),"")</f>
        <v/>
      </c>
      <c r="E72" s="29" t="str">
        <f>IFERROR(INDEX(總表!$F:$F,MATCH($A72,總表!$A:$A,0)),"")</f>
        <v/>
      </c>
      <c r="F72" s="29"/>
      <c r="G72" s="29"/>
      <c r="H72" s="29"/>
      <c r="I72" s="29">
        <f t="shared" si="3"/>
        <v>99</v>
      </c>
      <c r="J72" s="29">
        <f t="shared" si="1"/>
        <v>99</v>
      </c>
      <c r="K72" s="29">
        <f t="shared" si="2"/>
        <v>99</v>
      </c>
      <c r="L72" s="29" t="str">
        <f>IF(AND($D72="投手",LEFT($F72,3)="YES",OR($C72="MLB",$C72="3A",$C72="2A",$C72="日職一軍",$C72="韓職一軍",$C72="KBO")),COUNT($L$3:L71)+1,"")</f>
        <v/>
      </c>
      <c r="M72" s="29" t="str">
        <f>IF(AND($D72&lt;&gt;"投手",$D72&lt;&gt;"",LEFT($F72,3)="YES",OR($C72="MLB",$C72="3A",$C72="2A",$C72="日職一軍",$C72="韓職一軍",$C72="KBO")),COUNT($M$3:M71)+1,"")</f>
        <v/>
      </c>
      <c r="N72" s="29" t="str">
        <f>IF(AND($D72="投手",$F72="YES",OR($C72="MLB",$C72="一軍",$C72="KBO",$C72="3A",$C72="2A")),COUNT($N$2:N71)+1,"")</f>
        <v/>
      </c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>
      <c r="A73" s="29"/>
      <c r="B73" s="29" t="str">
        <f>IFERROR(INDEX(總表!$B:$B,MATCH($A73,總表!$A:$A,0)),"")</f>
        <v/>
      </c>
      <c r="C73" s="29" t="str">
        <f>IFERROR(INDEX(總表!$G:$G,MATCH($A73,總表!$A:$A,0)),"")</f>
        <v/>
      </c>
      <c r="D73" s="29" t="str">
        <f>IFERROR(INDEX(總表!$C:$C,MATCH($A73,總表!$A:$A,0)),"")</f>
        <v/>
      </c>
      <c r="E73" s="29" t="str">
        <f>IFERROR(INDEX(總表!$F:$F,MATCH($A73,總表!$A:$A,0)),"")</f>
        <v/>
      </c>
      <c r="F73" s="29"/>
      <c r="G73" s="29"/>
      <c r="H73" s="29"/>
      <c r="I73" s="29">
        <f t="shared" si="3"/>
        <v>99</v>
      </c>
      <c r="J73" s="29">
        <f t="shared" si="1"/>
        <v>99</v>
      </c>
      <c r="K73" s="29">
        <f t="shared" si="2"/>
        <v>99</v>
      </c>
      <c r="L73" s="29" t="str">
        <f>IF(AND($D73="投手",LEFT($F73,3)="YES",OR($C73="MLB",$C73="3A",$C73="2A",$C73="日職一軍",$C73="韓職一軍",$C73="KBO")),COUNT($L$3:L72)+1,"")</f>
        <v/>
      </c>
      <c r="M73" s="29" t="str">
        <f>IF(AND($D73&lt;&gt;"投手",$D73&lt;&gt;"",LEFT($F73,3)="YES",OR($C73="MLB",$C73="3A",$C73="2A",$C73="日職一軍",$C73="韓職一軍",$C73="KBO")),COUNT($M$3:M72)+1,"")</f>
        <v/>
      </c>
      <c r="N73" s="29" t="str">
        <f>IF(AND($D73="投手",$F73="YES",OR($C73="MLB",$C73="一軍",$C73="KBO",$C73="3A",$C73="2A")),COUNT($N$2:N72)+1,"")</f>
        <v/>
      </c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>
      <c r="A74" s="29"/>
      <c r="B74" s="29" t="str">
        <f>IFERROR(INDEX(總表!$B:$B,MATCH($A74,總表!$A:$A,0)),"")</f>
        <v/>
      </c>
      <c r="C74" s="29" t="str">
        <f>IFERROR(INDEX(總表!$G:$G,MATCH($A74,總表!$A:$A,0)),"")</f>
        <v/>
      </c>
      <c r="D74" s="29" t="str">
        <f>IFERROR(INDEX(總表!$C:$C,MATCH($A74,總表!$A:$A,0)),"")</f>
        <v/>
      </c>
      <c r="E74" s="29" t="str">
        <f>IFERROR(INDEX(總表!$F:$F,MATCH($A74,總表!$A:$A,0)),"")</f>
        <v/>
      </c>
      <c r="F74" s="29"/>
      <c r="G74" s="29"/>
      <c r="H74" s="29"/>
      <c r="I74" s="29">
        <f t="shared" si="3"/>
        <v>99</v>
      </c>
      <c r="J74" s="29">
        <f t="shared" si="1"/>
        <v>99</v>
      </c>
      <c r="K74" s="29">
        <f t="shared" si="2"/>
        <v>99</v>
      </c>
      <c r="L74" s="29" t="str">
        <f>IF(AND($D74="投手",LEFT($F74,3)="YES",OR($C74="MLB",$C74="3A",$C74="2A",$C74="日職一軍",$C74="韓職一軍",$C74="KBO")),COUNT($L$3:L73)+1,"")</f>
        <v/>
      </c>
      <c r="M74" s="29" t="str">
        <f>IF(AND($D74&lt;&gt;"投手",$D74&lt;&gt;"",LEFT($F74,3)="YES",OR($C74="MLB",$C74="3A",$C74="2A",$C74="日職一軍",$C74="韓職一軍",$C74="KBO")),COUNT($M$3:M73)+1,"")</f>
        <v/>
      </c>
      <c r="N74" s="29" t="str">
        <f>IF(AND($D74="投手",$F74="YES",OR($C74="MLB",$C74="一軍",$C74="KBO",$C74="3A",$C74="2A")),COUNT($N$2:N73)+1,"")</f>
        <v/>
      </c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>
      <c r="A75" s="29"/>
      <c r="B75" s="29" t="str">
        <f>IFERROR(INDEX(總表!$B:$B,MATCH($A75,總表!$A:$A,0)),"")</f>
        <v/>
      </c>
      <c r="C75" s="29" t="str">
        <f>IFERROR(INDEX(總表!$G:$G,MATCH($A75,總表!$A:$A,0)),"")</f>
        <v/>
      </c>
      <c r="D75" s="29" t="str">
        <f>IFERROR(INDEX(總表!$C:$C,MATCH($A75,總表!$A:$A,0)),"")</f>
        <v/>
      </c>
      <c r="E75" s="29" t="str">
        <f>IFERROR(INDEX(總表!$F:$F,MATCH($A75,總表!$A:$A,0)),"")</f>
        <v/>
      </c>
      <c r="F75" s="29"/>
      <c r="G75" s="29"/>
      <c r="H75" s="29"/>
      <c r="I75" s="29">
        <f t="shared" si="3"/>
        <v>99</v>
      </c>
      <c r="J75" s="29">
        <f t="shared" si="1"/>
        <v>99</v>
      </c>
      <c r="K75" s="29">
        <f t="shared" si="2"/>
        <v>99</v>
      </c>
      <c r="L75" s="29" t="str">
        <f>IF(AND($D75="投手",LEFT($F75,3)="YES",OR($C75="MLB",$C75="3A",$C75="2A",$C75="日職一軍",$C75="韓職一軍",$C75="KBO")),COUNT($L$3:L74)+1,"")</f>
        <v/>
      </c>
      <c r="M75" s="29" t="str">
        <f>IF(AND($D75&lt;&gt;"投手",$D75&lt;&gt;"",LEFT($F75,3)="YES",OR($C75="MLB",$C75="3A",$C75="2A",$C75="日職一軍",$C75="韓職一軍",$C75="KBO")),COUNT($M$3:M74)+1,"")</f>
        <v/>
      </c>
      <c r="N75" s="29" t="str">
        <f>IF(AND($D75="投手",$F75="YES",OR($C75="MLB",$C75="一軍",$C75="KBO",$C75="3A",$C75="2A")),COUNT($N$2:N74)+1,"")</f>
        <v/>
      </c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>
      <c r="A76" s="29"/>
      <c r="B76" s="29" t="str">
        <f>IFERROR(INDEX(總表!$B:$B,MATCH($A76,總表!$A:$A,0)),"")</f>
        <v/>
      </c>
      <c r="C76" s="29" t="str">
        <f>IFERROR(INDEX(總表!$G:$G,MATCH($A76,總表!$A:$A,0)),"")</f>
        <v/>
      </c>
      <c r="D76" s="29" t="str">
        <f>IFERROR(INDEX(總表!$C:$C,MATCH($A76,總表!$A:$A,0)),"")</f>
        <v/>
      </c>
      <c r="E76" s="29" t="str">
        <f>IFERROR(INDEX(總表!$F:$F,MATCH($A76,總表!$A:$A,0)),"")</f>
        <v/>
      </c>
      <c r="F76" s="29"/>
      <c r="G76" s="29"/>
      <c r="H76" s="29"/>
      <c r="I76" s="29">
        <f t="shared" si="3"/>
        <v>99</v>
      </c>
      <c r="J76" s="29">
        <f t="shared" si="1"/>
        <v>99</v>
      </c>
      <c r="K76" s="29">
        <f t="shared" si="2"/>
        <v>99</v>
      </c>
      <c r="L76" s="29" t="str">
        <f>IF(AND($D76="投手",LEFT($F76,3)="YES",OR($C76="MLB",$C76="3A",$C76="2A",$C76="日職一軍",$C76="韓職一軍",$C76="KBO")),COUNT($L$3:L75)+1,"")</f>
        <v/>
      </c>
      <c r="M76" s="29" t="str">
        <f>IF(AND($D76&lt;&gt;"投手",$D76&lt;&gt;"",LEFT($F76,3)="YES",OR($C76="MLB",$C76="3A",$C76="2A",$C76="日職一軍",$C76="韓職一軍",$C76="KBO")),COUNT($M$3:M75)+1,"")</f>
        <v/>
      </c>
      <c r="N76" s="29" t="str">
        <f>IF(AND($D76="投手",$F76="YES",OR($C76="MLB",$C76="一軍",$C76="KBO",$C76="3A",$C76="2A")),COUNT($N$2:N75)+1,"")</f>
        <v/>
      </c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>
      <c r="A77" s="29"/>
      <c r="B77" s="29" t="str">
        <f>IFERROR(INDEX(總表!$B:$B,MATCH($A77,總表!$A:$A,0)),"")</f>
        <v/>
      </c>
      <c r="C77" s="29" t="str">
        <f>IFERROR(INDEX(總表!$G:$G,MATCH($A77,總表!$A:$A,0)),"")</f>
        <v/>
      </c>
      <c r="D77" s="29" t="str">
        <f>IFERROR(INDEX(總表!$C:$C,MATCH($A77,總表!$A:$A,0)),"")</f>
        <v/>
      </c>
      <c r="E77" s="29" t="str">
        <f>IFERROR(INDEX(總表!$F:$F,MATCH($A77,總表!$A:$A,0)),"")</f>
        <v/>
      </c>
      <c r="F77" s="29"/>
      <c r="G77" s="29"/>
      <c r="H77" s="29"/>
      <c r="I77" s="29">
        <f t="shared" si="3"/>
        <v>99</v>
      </c>
      <c r="J77" s="29">
        <f t="shared" si="1"/>
        <v>99</v>
      </c>
      <c r="K77" s="29">
        <f t="shared" si="2"/>
        <v>99</v>
      </c>
      <c r="L77" s="29" t="str">
        <f>IF(AND($D77="投手",LEFT($F77,3)="YES",OR($C77="MLB",$C77="3A",$C77="2A",$C77="日職一軍",$C77="韓職一軍",$C77="KBO")),COUNT($L$3:L76)+1,"")</f>
        <v/>
      </c>
      <c r="M77" s="29" t="str">
        <f>IF(AND($D77&lt;&gt;"投手",$D77&lt;&gt;"",LEFT($F77,3)="YES",OR($C77="MLB",$C77="3A",$C77="2A",$C77="日職一軍",$C77="韓職一軍",$C77="KBO")),COUNT($M$3:M76)+1,"")</f>
        <v/>
      </c>
      <c r="N77" s="29" t="str">
        <f>IF(AND($D77="投手",$F77="YES",OR($C77="MLB",$C77="一軍",$C77="KBO",$C77="3A",$C77="2A")),COUNT($N$2:N76)+1,"")</f>
        <v/>
      </c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>
      <c r="A78" s="29"/>
      <c r="B78" s="29" t="str">
        <f>IFERROR(INDEX(總表!$B:$B,MATCH($A78,總表!$A:$A,0)),"")</f>
        <v/>
      </c>
      <c r="C78" s="29" t="str">
        <f>IFERROR(INDEX(總表!$G:$G,MATCH($A78,總表!$A:$A,0)),"")</f>
        <v/>
      </c>
      <c r="D78" s="29" t="str">
        <f>IFERROR(INDEX(總表!$C:$C,MATCH($A78,總表!$A:$A,0)),"")</f>
        <v/>
      </c>
      <c r="E78" s="29" t="str">
        <f>IFERROR(INDEX(總表!$F:$F,MATCH($A78,總表!$A:$A,0)),"")</f>
        <v/>
      </c>
      <c r="F78" s="29"/>
      <c r="G78" s="29"/>
      <c r="H78" s="29"/>
      <c r="I78" s="29">
        <f t="shared" si="3"/>
        <v>99</v>
      </c>
      <c r="J78" s="29">
        <f t="shared" si="1"/>
        <v>99</v>
      </c>
      <c r="K78" s="29">
        <f t="shared" si="2"/>
        <v>99</v>
      </c>
      <c r="L78" s="29" t="str">
        <f>IF(AND($D78="投手",LEFT($F78,3)="YES",OR($C78="MLB",$C78="3A",$C78="2A",$C78="日職一軍",$C78="韓職一軍",$C78="KBO")),COUNT($L$3:L77)+1,"")</f>
        <v/>
      </c>
      <c r="M78" s="29" t="str">
        <f>IF(AND($D78&lt;&gt;"投手",$D78&lt;&gt;"",LEFT($F78,3)="YES",OR($C78="MLB",$C78="3A",$C78="2A",$C78="日職一軍",$C78="韓職一軍",$C78="KBO")),COUNT($M$3:M77)+1,"")</f>
        <v/>
      </c>
      <c r="N78" s="29" t="str">
        <f>IF(AND($D78="投手",$F78="YES",OR($C78="MLB",$C78="一軍",$C78="KBO",$C78="3A",$C78="2A")),COUNT($N$2:N77)+1,"")</f>
        <v/>
      </c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>
      <c r="A79" s="29"/>
      <c r="B79" s="29" t="str">
        <f>IFERROR(INDEX(總表!$B:$B,MATCH($A79,總表!$A:$A,0)),"")</f>
        <v/>
      </c>
      <c r="C79" s="29" t="str">
        <f>IFERROR(INDEX(總表!$G:$G,MATCH($A79,總表!$A:$A,0)),"")</f>
        <v/>
      </c>
      <c r="D79" s="29" t="str">
        <f>IFERROR(INDEX(總表!$C:$C,MATCH($A79,總表!$A:$A,0)),"")</f>
        <v/>
      </c>
      <c r="E79" s="29" t="str">
        <f>IFERROR(INDEX(總表!$F:$F,MATCH($A79,總表!$A:$A,0)),"")</f>
        <v/>
      </c>
      <c r="F79" s="29"/>
      <c r="G79" s="29"/>
      <c r="H79" s="29"/>
      <c r="I79" s="29">
        <f t="shared" si="3"/>
        <v>99</v>
      </c>
      <c r="J79" s="29">
        <f t="shared" si="1"/>
        <v>99</v>
      </c>
      <c r="K79" s="29">
        <f t="shared" si="2"/>
        <v>99</v>
      </c>
      <c r="L79" s="29" t="str">
        <f>IF(AND($D79="投手",LEFT($F79,3)="YES",OR($C79="MLB",$C79="3A",$C79="2A",$C79="日職一軍",$C79="韓職一軍",$C79="KBO")),COUNT($L$3:L78)+1,"")</f>
        <v/>
      </c>
      <c r="M79" s="29" t="str">
        <f>IF(AND($D79&lt;&gt;"投手",$D79&lt;&gt;"",LEFT($F79,3)="YES",OR($C79="MLB",$C79="3A",$C79="2A",$C79="日職一軍",$C79="韓職一軍",$C79="KBO")),COUNT($M$3:M78)+1,"")</f>
        <v/>
      </c>
      <c r="N79" s="29" t="str">
        <f>IF(AND($D79="投手",$F79="YES",OR($C79="MLB",$C79="一軍",$C79="KBO",$C79="3A",$C79="2A")),COUNT($N$2:N78)+1,"")</f>
        <v/>
      </c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>
      <c r="A80" s="29"/>
      <c r="B80" s="29" t="str">
        <f>IFERROR(INDEX(總表!$B:$B,MATCH($A80,總表!$A:$A,0)),"")</f>
        <v/>
      </c>
      <c r="C80" s="29" t="str">
        <f>IFERROR(INDEX(總表!$G:$G,MATCH($A80,總表!$A:$A,0)),"")</f>
        <v/>
      </c>
      <c r="D80" s="29" t="str">
        <f>IFERROR(INDEX(總表!$C:$C,MATCH($A80,總表!$A:$A,0)),"")</f>
        <v/>
      </c>
      <c r="E80" s="29" t="str">
        <f>IFERROR(INDEX(總表!$F:$F,MATCH($A80,總表!$A:$A,0)),"")</f>
        <v/>
      </c>
      <c r="F80" s="29"/>
      <c r="G80" s="29"/>
      <c r="H80" s="29"/>
      <c r="I80" s="29">
        <f t="shared" si="3"/>
        <v>99</v>
      </c>
      <c r="J80" s="29">
        <f t="shared" si="1"/>
        <v>99</v>
      </c>
      <c r="K80" s="29">
        <f t="shared" si="2"/>
        <v>99</v>
      </c>
      <c r="L80" s="29" t="str">
        <f>IF(AND($D80="投手",LEFT($F80,3)="YES",OR($C80="MLB",$C80="3A",$C80="2A",$C80="日職一軍",$C80="韓職一軍",$C80="KBO")),COUNT($L$3:L79)+1,"")</f>
        <v/>
      </c>
      <c r="M80" s="29" t="str">
        <f>IF(AND($D80&lt;&gt;"投手",$D80&lt;&gt;"",LEFT($F80,3)="YES",OR($C80="MLB",$C80="3A",$C80="2A",$C80="日職一軍",$C80="韓職一軍",$C80="KBO")),COUNT($M$3:M79)+1,"")</f>
        <v/>
      </c>
      <c r="N80" s="29" t="str">
        <f>IF(AND($D80="投手",$F80="YES",OR($C80="MLB",$C80="一軍",$C80="KBO",$C80="3A",$C80="2A")),COUNT($N$2:N79)+1,"")</f>
        <v/>
      </c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>
      <c r="A81" s="29"/>
      <c r="B81" s="29" t="str">
        <f>IFERROR(INDEX(總表!$B:$B,MATCH($A81,總表!$A:$A,0)),"")</f>
        <v/>
      </c>
      <c r="C81" s="29" t="str">
        <f>IFERROR(INDEX(總表!$G:$G,MATCH($A81,總表!$A:$A,0)),"")</f>
        <v/>
      </c>
      <c r="D81" s="29" t="str">
        <f>IFERROR(INDEX(總表!$C:$C,MATCH($A81,總表!$A:$A,0)),"")</f>
        <v/>
      </c>
      <c r="E81" s="29" t="str">
        <f>IFERROR(INDEX(總表!$F:$F,MATCH($A81,總表!$A:$A,0)),"")</f>
        <v/>
      </c>
      <c r="F81" s="29"/>
      <c r="G81" s="29"/>
      <c r="H81" s="29"/>
      <c r="I81" s="29">
        <f t="shared" si="3"/>
        <v>99</v>
      </c>
      <c r="J81" s="29">
        <f t="shared" si="1"/>
        <v>99</v>
      </c>
      <c r="K81" s="29">
        <f t="shared" si="2"/>
        <v>99</v>
      </c>
      <c r="L81" s="29" t="str">
        <f>IF(AND($D81="投手",LEFT($F81,3)="YES",OR($C81="MLB",$C81="3A",$C81="2A",$C81="日職一軍",$C81="韓職一軍",$C81="KBO")),COUNT($L$3:L80)+1,"")</f>
        <v/>
      </c>
      <c r="M81" s="29" t="str">
        <f>IF(AND($D81&lt;&gt;"投手",$D81&lt;&gt;"",LEFT($F81,3)="YES",OR($C81="MLB",$C81="3A",$C81="2A",$C81="日職一軍",$C81="韓職一軍",$C81="KBO")),COUNT($M$3:M80)+1,"")</f>
        <v/>
      </c>
      <c r="N81" s="29" t="str">
        <f>IF(AND($D81="投手",$F81="YES",OR($C81="MLB",$C81="一軍",$C81="KBO",$C81="3A",$C81="2A")),COUNT($N$2:N80)+1,"")</f>
        <v/>
      </c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>
      <c r="A82" s="29"/>
      <c r="B82" s="29" t="str">
        <f>IFERROR(INDEX(總表!$B:$B,MATCH($A82,總表!$A:$A,0)),"")</f>
        <v/>
      </c>
      <c r="C82" s="29" t="str">
        <f>IFERROR(INDEX(總表!$G:$G,MATCH($A82,總表!$A:$A,0)),"")</f>
        <v/>
      </c>
      <c r="D82" s="29" t="str">
        <f>IFERROR(INDEX(總表!$C:$C,MATCH($A82,總表!$A:$A,0)),"")</f>
        <v/>
      </c>
      <c r="E82" s="29" t="str">
        <f>IFERROR(INDEX(總表!$F:$F,MATCH($A82,總表!$A:$A,0)),"")</f>
        <v/>
      </c>
      <c r="F82" s="29"/>
      <c r="G82" s="29"/>
      <c r="H82" s="29"/>
      <c r="I82" s="29">
        <f t="shared" si="3"/>
        <v>99</v>
      </c>
      <c r="J82" s="29">
        <f t="shared" si="1"/>
        <v>99</v>
      </c>
      <c r="K82" s="29">
        <f t="shared" si="2"/>
        <v>99</v>
      </c>
      <c r="L82" s="29" t="str">
        <f>IF(AND($D82="投手",LEFT($F82,3)="YES",OR($C82="MLB",$C82="3A",$C82="2A",$C82="日職一軍",$C82="韓職一軍",$C82="KBO")),COUNT($L$3:L81)+1,"")</f>
        <v/>
      </c>
      <c r="M82" s="29" t="str">
        <f>IF(AND($D82&lt;&gt;"投手",$D82&lt;&gt;"",LEFT($F82,3)="YES",OR($C82="MLB",$C82="3A",$C82="2A",$C82="日職一軍",$C82="韓職一軍",$C82="KBO")),COUNT($M$3:M81)+1,"")</f>
        <v/>
      </c>
      <c r="N82" s="29" t="str">
        <f>IF(AND($D82="投手",$F82="YES",OR($C82="MLB",$C82="一軍",$C82="KBO",$C82="3A",$C82="2A")),COUNT($N$2:N81)+1,"")</f>
        <v/>
      </c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>
      <c r="A83" s="29"/>
      <c r="B83" s="29" t="str">
        <f>IFERROR(INDEX(總表!$B:$B,MATCH($A83,總表!$A:$A,0)),"")</f>
        <v/>
      </c>
      <c r="C83" s="29" t="str">
        <f>IFERROR(INDEX(總表!$G:$G,MATCH($A83,總表!$A:$A,0)),"")</f>
        <v/>
      </c>
      <c r="D83" s="29" t="str">
        <f>IFERROR(INDEX(總表!$C:$C,MATCH($A83,總表!$A:$A,0)),"")</f>
        <v/>
      </c>
      <c r="E83" s="29" t="str">
        <f>IFERROR(INDEX(總表!$F:$F,MATCH($A83,總表!$A:$A,0)),"")</f>
        <v/>
      </c>
      <c r="F83" s="29"/>
      <c r="G83" s="29"/>
      <c r="H83" s="29"/>
      <c r="I83" s="29">
        <f t="shared" si="3"/>
        <v>99</v>
      </c>
      <c r="J83" s="29">
        <f t="shared" si="1"/>
        <v>99</v>
      </c>
      <c r="K83" s="29">
        <f t="shared" si="2"/>
        <v>99</v>
      </c>
      <c r="L83" s="29" t="str">
        <f>IF(AND($D83="投手",LEFT($F83,3)="YES",OR($C83="MLB",$C83="3A",$C83="2A",$C83="日職一軍",$C83="韓職一軍",$C83="KBO")),COUNT($L$3:L82)+1,"")</f>
        <v/>
      </c>
      <c r="M83" s="29" t="str">
        <f>IF(AND($D83&lt;&gt;"投手",$D83&lt;&gt;"",LEFT($F83,3)="YES",OR($C83="MLB",$C83="3A",$C83="2A",$C83="日職一軍",$C83="韓職一軍",$C83="KBO")),COUNT($M$3:M82)+1,"")</f>
        <v/>
      </c>
      <c r="N83" s="29" t="str">
        <f>IF(AND($D83="投手",$F83="YES",OR($C83="MLB",$C83="一軍",$C83="KBO",$C83="3A",$C83="2A")),COUNT($N$2:N82)+1,"")</f>
        <v/>
      </c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>
      <c r="A84" s="29"/>
      <c r="B84" s="29" t="str">
        <f>IFERROR(INDEX(總表!$B:$B,MATCH($A84,總表!$A:$A,0)),"")</f>
        <v/>
      </c>
      <c r="C84" s="29" t="str">
        <f>IFERROR(INDEX(總表!$G:$G,MATCH($A84,總表!$A:$A,0)),"")</f>
        <v/>
      </c>
      <c r="D84" s="29" t="str">
        <f>IFERROR(INDEX(總表!$C:$C,MATCH($A84,總表!$A:$A,0)),"")</f>
        <v/>
      </c>
      <c r="E84" s="29" t="str">
        <f>IFERROR(INDEX(總表!$F:$F,MATCH($A84,總表!$A:$A,0)),"")</f>
        <v/>
      </c>
      <c r="F84" s="29"/>
      <c r="G84" s="29"/>
      <c r="H84" s="29"/>
      <c r="I84" s="29">
        <f t="shared" si="3"/>
        <v>99</v>
      </c>
      <c r="J84" s="29">
        <f t="shared" si="1"/>
        <v>99</v>
      </c>
      <c r="K84" s="29">
        <f t="shared" si="2"/>
        <v>99</v>
      </c>
      <c r="L84" s="29" t="str">
        <f>IF(AND($D84="投手",LEFT($F84,3)="YES",OR($C84="MLB",$C84="3A",$C84="2A",$C84="日職一軍",$C84="韓職一軍",$C84="KBO")),COUNT($L$3:L83)+1,"")</f>
        <v/>
      </c>
      <c r="M84" s="29" t="str">
        <f>IF(AND($D84&lt;&gt;"投手",$D84&lt;&gt;"",LEFT($F84,3)="YES",OR($C84="MLB",$C84="3A",$C84="2A",$C84="日職一軍",$C84="韓職一軍",$C84="KBO")),COUNT($M$3:M83)+1,"")</f>
        <v/>
      </c>
      <c r="N84" s="29" t="str">
        <f>IF(AND($D84="投手",$F84="YES",OR($C84="MLB",$C84="一軍",$C84="KBO",$C84="3A",$C84="2A")),COUNT($N$2:N83)+1,"")</f>
        <v/>
      </c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>
      <c r="A85" s="29"/>
      <c r="B85" s="29" t="str">
        <f>IFERROR(INDEX(總表!$B:$B,MATCH($A85,總表!$A:$A,0)),"")</f>
        <v/>
      </c>
      <c r="C85" s="29" t="str">
        <f>IFERROR(INDEX(總表!$G:$G,MATCH($A85,總表!$A:$A,0)),"")</f>
        <v/>
      </c>
      <c r="D85" s="29" t="str">
        <f>IFERROR(INDEX(總表!$C:$C,MATCH($A85,總表!$A:$A,0)),"")</f>
        <v/>
      </c>
      <c r="E85" s="29" t="str">
        <f>IFERROR(INDEX(總表!$F:$F,MATCH($A85,總表!$A:$A,0)),"")</f>
        <v/>
      </c>
      <c r="F85" s="29"/>
      <c r="G85" s="29"/>
      <c r="H85" s="29"/>
      <c r="I85" s="29">
        <f t="shared" si="3"/>
        <v>99</v>
      </c>
      <c r="J85" s="29">
        <f t="shared" si="1"/>
        <v>99</v>
      </c>
      <c r="K85" s="29">
        <f t="shared" si="2"/>
        <v>99</v>
      </c>
      <c r="L85" s="29" t="str">
        <f>IF(AND($D85="投手",LEFT($F85,3)="YES",OR($C85="MLB",$C85="3A",$C85="2A",$C85="日職一軍",$C85="韓職一軍",$C85="KBO")),COUNT($L$3:L84)+1,"")</f>
        <v/>
      </c>
      <c r="M85" s="29" t="str">
        <f>IF(AND($D85&lt;&gt;"投手",$D85&lt;&gt;"",LEFT($F85,3)="YES",OR($C85="MLB",$C85="3A",$C85="2A",$C85="日職一軍",$C85="韓職一軍",$C85="KBO")),COUNT($M$3:M84)+1,"")</f>
        <v/>
      </c>
      <c r="N85" s="29" t="str">
        <f>IF(AND($D85="投手",$F85="YES",OR($C85="MLB",$C85="一軍",$C85="KBO",$C85="3A",$C85="2A")),COUNT($N$2:N84)+1,"")</f>
        <v/>
      </c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>
      <c r="A86" s="29"/>
      <c r="B86" s="29" t="str">
        <f>IFERROR(INDEX(總表!$B:$B,MATCH($A86,總表!$A:$A,0)),"")</f>
        <v/>
      </c>
      <c r="C86" s="29" t="str">
        <f>IFERROR(INDEX(總表!$G:$G,MATCH($A86,總表!$A:$A,0)),"")</f>
        <v/>
      </c>
      <c r="D86" s="29" t="str">
        <f>IFERROR(INDEX(總表!$C:$C,MATCH($A86,總表!$A:$A,0)),"")</f>
        <v/>
      </c>
      <c r="E86" s="29" t="str">
        <f>IFERROR(INDEX(總表!$F:$F,MATCH($A86,總表!$A:$A,0)),"")</f>
        <v/>
      </c>
      <c r="F86" s="29"/>
      <c r="G86" s="29"/>
      <c r="H86" s="29"/>
      <c r="I86" s="29">
        <f t="shared" si="3"/>
        <v>99</v>
      </c>
      <c r="J86" s="29">
        <f t="shared" si="1"/>
        <v>99</v>
      </c>
      <c r="K86" s="29">
        <f t="shared" si="2"/>
        <v>99</v>
      </c>
      <c r="L86" s="29" t="str">
        <f>IF(AND($D86="投手",LEFT($F86,3)="YES",OR($C86="MLB",$C86="3A",$C86="2A",$C86="日職一軍",$C86="韓職一軍",$C86="KBO")),COUNT($L$3:L85)+1,"")</f>
        <v/>
      </c>
      <c r="M86" s="29" t="str">
        <f>IF(AND($D86&lt;&gt;"投手",$D86&lt;&gt;"",LEFT($F86,3)="YES",OR($C86="MLB",$C86="3A",$C86="2A",$C86="日職一軍",$C86="韓職一軍",$C86="KBO")),COUNT($M$3:M85)+1,"")</f>
        <v/>
      </c>
      <c r="N86" s="29" t="str">
        <f>IF(AND($D86="投手",$F86="YES",OR($C86="MLB",$C86="一軍",$C86="KBO",$C86="3A",$C86="2A")),COUNT($N$2:N85)+1,"")</f>
        <v/>
      </c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>
      <c r="A87" s="29"/>
      <c r="B87" s="29" t="str">
        <f>IFERROR(INDEX(總表!$B:$B,MATCH($A87,總表!$A:$A,0)),"")</f>
        <v/>
      </c>
      <c r="C87" s="29" t="str">
        <f>IFERROR(INDEX(總表!$G:$G,MATCH($A87,總表!$A:$A,0)),"")</f>
        <v/>
      </c>
      <c r="D87" s="29" t="str">
        <f>IFERROR(INDEX(總表!$C:$C,MATCH($A87,總表!$A:$A,0)),"")</f>
        <v/>
      </c>
      <c r="E87" s="29" t="str">
        <f>IFERROR(INDEX(總表!$F:$F,MATCH($A87,總表!$A:$A,0)),"")</f>
        <v/>
      </c>
      <c r="F87" s="29"/>
      <c r="G87" s="29"/>
      <c r="H87" s="29"/>
      <c r="I87" s="29">
        <f t="shared" si="3"/>
        <v>99</v>
      </c>
      <c r="J87" s="29">
        <f t="shared" si="1"/>
        <v>99</v>
      </c>
      <c r="K87" s="29">
        <f t="shared" si="2"/>
        <v>99</v>
      </c>
      <c r="L87" s="29" t="str">
        <f>IF(AND($D87="投手",LEFT($F87,3)="YES",OR($C87="MLB",$C87="3A",$C87="2A",$C87="日職一軍",$C87="韓職一軍",$C87="KBO")),COUNT($L$3:L86)+1,"")</f>
        <v/>
      </c>
      <c r="M87" s="29" t="str">
        <f>IF(AND($D87&lt;&gt;"投手",$D87&lt;&gt;"",LEFT($F87,3)="YES",OR($C87="MLB",$C87="3A",$C87="2A",$C87="日職一軍",$C87="韓職一軍",$C87="KBO")),COUNT($M$3:M86)+1,"")</f>
        <v/>
      </c>
      <c r="N87" s="29" t="str">
        <f>IF(AND($D87="投手",$F87="YES",OR($C87="MLB",$C87="一軍",$C87="KBO",$C87="3A",$C87="2A")),COUNT($N$2:N86)+1,"")</f>
        <v/>
      </c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>
      <c r="A88" s="29"/>
      <c r="B88" s="29" t="str">
        <f>IFERROR(INDEX(總表!$B:$B,MATCH($A88,總表!$A:$A,0)),"")</f>
        <v/>
      </c>
      <c r="C88" s="29" t="str">
        <f>IFERROR(INDEX(總表!$G:$G,MATCH($A88,總表!$A:$A,0)),"")</f>
        <v/>
      </c>
      <c r="D88" s="29" t="str">
        <f>IFERROR(INDEX(總表!$C:$C,MATCH($A88,總表!$A:$A,0)),"")</f>
        <v/>
      </c>
      <c r="E88" s="29" t="str">
        <f>IFERROR(INDEX(總表!$F:$F,MATCH($A88,總表!$A:$A,0)),"")</f>
        <v/>
      </c>
      <c r="F88" s="29"/>
      <c r="G88" s="29"/>
      <c r="H88" s="29"/>
      <c r="I88" s="29">
        <f t="shared" si="3"/>
        <v>99</v>
      </c>
      <c r="J88" s="29">
        <f t="shared" si="1"/>
        <v>99</v>
      </c>
      <c r="K88" s="29">
        <f t="shared" si="2"/>
        <v>99</v>
      </c>
      <c r="L88" s="29" t="str">
        <f>IF(AND($D88="投手",LEFT($F88,3)="YES",OR($C88="MLB",$C88="3A",$C88="2A",$C88="日職一軍",$C88="韓職一軍",$C88="KBO")),COUNT($L$3:L87)+1,"")</f>
        <v/>
      </c>
      <c r="M88" s="29" t="str">
        <f>IF(AND($D88&lt;&gt;"投手",$D88&lt;&gt;"",LEFT($F88,3)="YES",OR($C88="MLB",$C88="3A",$C88="2A",$C88="日職一軍",$C88="韓職一軍",$C88="KBO")),COUNT($M$3:M87)+1,"")</f>
        <v/>
      </c>
      <c r="N88" s="29" t="str">
        <f>IF(AND($D88="投手",$F88="YES",OR($C88="MLB",$C88="一軍",$C88="KBO",$C88="3A",$C88="2A")),COUNT($N$2:N87)+1,"")</f>
        <v/>
      </c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>
      <c r="A89" s="29"/>
      <c r="B89" s="29" t="str">
        <f>IFERROR(INDEX(總表!$B:$B,MATCH($A89,總表!$A:$A,0)),"")</f>
        <v/>
      </c>
      <c r="C89" s="29" t="str">
        <f>IFERROR(INDEX(總表!$G:$G,MATCH($A89,總表!$A:$A,0)),"")</f>
        <v/>
      </c>
      <c r="D89" s="29" t="str">
        <f>IFERROR(INDEX(總表!$C:$C,MATCH($A89,總表!$A:$A,0)),"")</f>
        <v/>
      </c>
      <c r="E89" s="29" t="str">
        <f>IFERROR(INDEX(總表!$F:$F,MATCH($A89,總表!$A:$A,0)),"")</f>
        <v/>
      </c>
      <c r="F89" s="29"/>
      <c r="G89" s="29"/>
      <c r="H89" s="29"/>
      <c r="I89" s="29">
        <f t="shared" si="3"/>
        <v>99</v>
      </c>
      <c r="J89" s="29">
        <f t="shared" si="1"/>
        <v>99</v>
      </c>
      <c r="K89" s="29">
        <f t="shared" si="2"/>
        <v>99</v>
      </c>
      <c r="L89" s="29" t="str">
        <f>IF(AND($D89="投手",LEFT($F89,3)="YES",OR($C89="MLB",$C89="3A",$C89="2A",$C89="日職一軍",$C89="韓職一軍",$C89="KBO")),COUNT($L$3:L88)+1,"")</f>
        <v/>
      </c>
      <c r="M89" s="29" t="str">
        <f>IF(AND($D89&lt;&gt;"投手",$D89&lt;&gt;"",LEFT($F89,3)="YES",OR($C89="MLB",$C89="3A",$C89="2A",$C89="日職一軍",$C89="韓職一軍",$C89="KBO")),COUNT($M$3:M88)+1,"")</f>
        <v/>
      </c>
      <c r="N89" s="29" t="str">
        <f>IF(AND($D89="投手",$F89="YES",OR($C89="MLB",$C89="一軍",$C89="KBO",$C89="3A",$C89="2A")),COUNT($N$2:N88)+1,"")</f>
        <v/>
      </c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>
      <c r="A90" s="29"/>
      <c r="B90" s="29" t="str">
        <f>IFERROR(INDEX(總表!$B:$B,MATCH($A90,總表!$A:$A,0)),"")</f>
        <v/>
      </c>
      <c r="C90" s="29" t="str">
        <f>IFERROR(INDEX(總表!$G:$G,MATCH($A90,總表!$A:$A,0)),"")</f>
        <v/>
      </c>
      <c r="D90" s="29" t="str">
        <f>IFERROR(INDEX(總表!$C:$C,MATCH($A90,總表!$A:$A,0)),"")</f>
        <v/>
      </c>
      <c r="E90" s="29" t="str">
        <f>IFERROR(INDEX(總表!$F:$F,MATCH($A90,總表!$A:$A,0)),"")</f>
        <v/>
      </c>
      <c r="F90" s="29"/>
      <c r="G90" s="29"/>
      <c r="H90" s="29"/>
      <c r="I90" s="29">
        <f t="shared" si="3"/>
        <v>99</v>
      </c>
      <c r="J90" s="29">
        <f t="shared" si="1"/>
        <v>99</v>
      </c>
      <c r="K90" s="29">
        <f t="shared" si="2"/>
        <v>99</v>
      </c>
      <c r="L90" s="29" t="str">
        <f>IF(AND($D90="投手",LEFT($F90,3)="YES",OR($C90="MLB",$C90="3A",$C90="2A",$C90="日職一軍",$C90="韓職一軍",$C90="KBO")),COUNT($L$3:L89)+1,"")</f>
        <v/>
      </c>
      <c r="M90" s="29" t="str">
        <f>IF(AND($D90&lt;&gt;"投手",$D90&lt;&gt;"",LEFT($F90,3)="YES",OR($C90="MLB",$C90="3A",$C90="2A",$C90="日職一軍",$C90="韓職一軍",$C90="KBO")),COUNT($M$3:M89)+1,"")</f>
        <v/>
      </c>
      <c r="N90" s="29" t="str">
        <f>IF(AND($D90="投手",$F90="YES",OR($C90="MLB",$C90="一軍",$C90="KBO",$C90="3A",$C90="2A")),COUNT($N$2:N89)+1,"")</f>
        <v/>
      </c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>
      <c r="A91" s="29"/>
      <c r="B91" s="29" t="str">
        <f>IFERROR(INDEX(總表!$B:$B,MATCH($A91,總表!$A:$A,0)),"")</f>
        <v/>
      </c>
      <c r="C91" s="29" t="str">
        <f>IFERROR(INDEX(總表!$G:$G,MATCH($A91,總表!$A:$A,0)),"")</f>
        <v/>
      </c>
      <c r="D91" s="29" t="str">
        <f>IFERROR(INDEX(總表!$C:$C,MATCH($A91,總表!$A:$A,0)),"")</f>
        <v/>
      </c>
      <c r="E91" s="29" t="str">
        <f>IFERROR(INDEX(總表!$F:$F,MATCH($A91,總表!$A:$A,0)),"")</f>
        <v/>
      </c>
      <c r="F91" s="29"/>
      <c r="G91" s="29"/>
      <c r="H91" s="29"/>
      <c r="I91" s="29">
        <f t="shared" si="3"/>
        <v>99</v>
      </c>
      <c r="J91" s="29">
        <f t="shared" si="1"/>
        <v>99</v>
      </c>
      <c r="K91" s="29">
        <f t="shared" si="2"/>
        <v>99</v>
      </c>
      <c r="L91" s="29" t="str">
        <f>IF(AND($D91="投手",LEFT($F91,3)="YES",OR($C91="MLB",$C91="3A",$C91="2A",$C91="日職一軍",$C91="韓職一軍",$C91="KBO")),COUNT($L$3:L90)+1,"")</f>
        <v/>
      </c>
      <c r="M91" s="29" t="str">
        <f>IF(AND($D91&lt;&gt;"投手",$D91&lt;&gt;"",LEFT($F91,3)="YES",OR($C91="MLB",$C91="3A",$C91="2A",$C91="日職一軍",$C91="韓職一軍",$C91="KBO")),COUNT($M$3:M90)+1,"")</f>
        <v/>
      </c>
      <c r="N91" s="29" t="str">
        <f>IF(AND($D91="投手",$F91="YES",OR($C91="MLB",$C91="一軍",$C91="KBO",$C91="3A",$C91="2A")),COUNT($N$2:N90)+1,"")</f>
        <v/>
      </c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>
      <c r="A92" s="29"/>
      <c r="B92" s="29" t="str">
        <f>IFERROR(INDEX(總表!$B:$B,MATCH($A92,總表!$A:$A,0)),"")</f>
        <v/>
      </c>
      <c r="C92" s="29" t="str">
        <f>IFERROR(INDEX(總表!$G:$G,MATCH($A92,總表!$A:$A,0)),"")</f>
        <v/>
      </c>
      <c r="D92" s="29" t="str">
        <f>IFERROR(INDEX(總表!$C:$C,MATCH($A92,總表!$A:$A,0)),"")</f>
        <v/>
      </c>
      <c r="E92" s="29" t="str">
        <f>IFERROR(INDEX(總表!$F:$F,MATCH($A92,總表!$A:$A,0)),"")</f>
        <v/>
      </c>
      <c r="F92" s="29"/>
      <c r="G92" s="29"/>
      <c r="H92" s="29"/>
      <c r="I92" s="29">
        <f t="shared" si="3"/>
        <v>99</v>
      </c>
      <c r="J92" s="29">
        <f t="shared" si="1"/>
        <v>99</v>
      </c>
      <c r="K92" s="29">
        <f t="shared" si="2"/>
        <v>99</v>
      </c>
      <c r="L92" s="29" t="str">
        <f>IF(AND($D92="投手",LEFT($F92,3)="YES",OR($C92="MLB",$C92="3A",$C92="2A",$C92="日職一軍",$C92="韓職一軍",$C92="KBO")),COUNT($L$3:L91)+1,"")</f>
        <v/>
      </c>
      <c r="M92" s="29" t="str">
        <f>IF(AND($D92&lt;&gt;"投手",$D92&lt;&gt;"",LEFT($F92,3)="YES",OR($C92="MLB",$C92="3A",$C92="2A",$C92="日職一軍",$C92="韓職一軍",$C92="KBO")),COUNT($M$3:M91)+1,"")</f>
        <v/>
      </c>
      <c r="N92" s="29" t="str">
        <f>IF(AND($D92="投手",$F92="YES",OR($C92="MLB",$C92="一軍",$C92="KBO",$C92="3A",$C92="2A")),COUNT($N$2:N91)+1,"")</f>
        <v/>
      </c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>
      <c r="A93" s="29"/>
      <c r="B93" s="29" t="str">
        <f>IFERROR(INDEX(總表!$B:$B,MATCH($A93,總表!$A:$A,0)),"")</f>
        <v/>
      </c>
      <c r="C93" s="29" t="str">
        <f>IFERROR(INDEX(總表!$G:$G,MATCH($A93,總表!$A:$A,0)),"")</f>
        <v/>
      </c>
      <c r="D93" s="29" t="str">
        <f>IFERROR(INDEX(總表!$C:$C,MATCH($A93,總表!$A:$A,0)),"")</f>
        <v/>
      </c>
      <c r="E93" s="29" t="str">
        <f>IFERROR(INDEX(總表!$F:$F,MATCH($A93,總表!$A:$A,0)),"")</f>
        <v/>
      </c>
      <c r="F93" s="29"/>
      <c r="G93" s="29"/>
      <c r="H93" s="29"/>
      <c r="I93" s="29">
        <f t="shared" si="3"/>
        <v>99</v>
      </c>
      <c r="J93" s="29">
        <f t="shared" si="1"/>
        <v>99</v>
      </c>
      <c r="K93" s="29">
        <f t="shared" si="2"/>
        <v>99</v>
      </c>
      <c r="L93" s="29" t="str">
        <f>IF(AND($D93="投手",LEFT($F93,3)="YES",OR($C93="MLB",$C93="3A",$C93="2A",$C93="日職一軍",$C93="韓職一軍",$C93="KBO")),COUNT($L$3:L92)+1,"")</f>
        <v/>
      </c>
      <c r="M93" s="29" t="str">
        <f>IF(AND($D93&lt;&gt;"投手",$D93&lt;&gt;"",LEFT($F93,3)="YES",OR($C93="MLB",$C93="3A",$C93="2A",$C93="日職一軍",$C93="韓職一軍",$C93="KBO")),COUNT($M$3:M92)+1,"")</f>
        <v/>
      </c>
      <c r="N93" s="29" t="str">
        <f>IF(AND($D93="投手",$F93="YES",OR($C93="MLB",$C93="一軍",$C93="KBO",$C93="3A",$C93="2A")),COUNT($N$2:N92)+1,"")</f>
        <v/>
      </c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>
      <c r="A94" s="29"/>
      <c r="B94" s="29" t="str">
        <f>IFERROR(INDEX(總表!$B:$B,MATCH($A94,總表!$A:$A,0)),"")</f>
        <v/>
      </c>
      <c r="C94" s="29" t="str">
        <f>IFERROR(INDEX(總表!$G:$G,MATCH($A94,總表!$A:$A,0)),"")</f>
        <v/>
      </c>
      <c r="D94" s="29" t="str">
        <f>IFERROR(INDEX(總表!$C:$C,MATCH($A94,總表!$A:$A,0)),"")</f>
        <v/>
      </c>
      <c r="E94" s="29" t="str">
        <f>IFERROR(INDEX(總表!$F:$F,MATCH($A94,總表!$A:$A,0)),"")</f>
        <v/>
      </c>
      <c r="F94" s="29"/>
      <c r="G94" s="29"/>
      <c r="H94" s="29"/>
      <c r="I94" s="29">
        <f t="shared" si="3"/>
        <v>99</v>
      </c>
      <c r="J94" s="29">
        <f t="shared" si="1"/>
        <v>99</v>
      </c>
      <c r="K94" s="29">
        <f t="shared" si="2"/>
        <v>99</v>
      </c>
      <c r="L94" s="29" t="str">
        <f>IF(AND($D94="投手",LEFT($F94,3)="YES",OR($C94="MLB",$C94="3A",$C94="2A",$C94="日職一軍",$C94="韓職一軍",$C94="KBO")),COUNT($L$3:L93)+1,"")</f>
        <v/>
      </c>
      <c r="M94" s="29" t="str">
        <f>IF(AND($D94&lt;&gt;"投手",$D94&lt;&gt;"",LEFT($F94,3)="YES",OR($C94="MLB",$C94="3A",$C94="2A",$C94="日職一軍",$C94="韓職一軍",$C94="KBO")),COUNT($M$3:M93)+1,"")</f>
        <v/>
      </c>
      <c r="N94" s="29" t="str">
        <f>IF(AND($D94="投手",$F94="YES",OR($C94="MLB",$C94="一軍",$C94="KBO",$C94="3A",$C94="2A")),COUNT($N$2:N93)+1,"")</f>
        <v/>
      </c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>
      <c r="A95" s="29"/>
      <c r="B95" s="29" t="str">
        <f>IFERROR(INDEX(總表!$B:$B,MATCH($A95,總表!$A:$A,0)),"")</f>
        <v/>
      </c>
      <c r="C95" s="29" t="str">
        <f>IFERROR(INDEX(總表!$G:$G,MATCH($A95,總表!$A:$A,0)),"")</f>
        <v/>
      </c>
      <c r="D95" s="29" t="str">
        <f>IFERROR(INDEX(總表!$C:$C,MATCH($A95,總表!$A:$A,0)),"")</f>
        <v/>
      </c>
      <c r="E95" s="29" t="str">
        <f>IFERROR(INDEX(總表!$F:$F,MATCH($A95,總表!$A:$A,0)),"")</f>
        <v/>
      </c>
      <c r="F95" s="29"/>
      <c r="G95" s="29"/>
      <c r="H95" s="29"/>
      <c r="I95" s="29">
        <f t="shared" si="3"/>
        <v>99</v>
      </c>
      <c r="J95" s="29">
        <f t="shared" si="1"/>
        <v>99</v>
      </c>
      <c r="K95" s="29">
        <f t="shared" si="2"/>
        <v>99</v>
      </c>
      <c r="L95" s="29" t="str">
        <f>IF(AND($D95="投手",LEFT($F95,3)="YES",OR($C95="MLB",$C95="3A",$C95="2A",$C95="日職一軍",$C95="韓職一軍",$C95="KBO")),COUNT($L$3:L94)+1,"")</f>
        <v/>
      </c>
      <c r="M95" s="29" t="str">
        <f>IF(AND($D95&lt;&gt;"投手",$D95&lt;&gt;"",LEFT($F95,3)="YES",OR($C95="MLB",$C95="3A",$C95="2A",$C95="日職一軍",$C95="韓職一軍",$C95="KBO")),COUNT($M$3:M94)+1,"")</f>
        <v/>
      </c>
      <c r="N95" s="29" t="str">
        <f>IF(AND($D95="投手",$F95="YES",OR($C95="MLB",$C95="一軍",$C95="KBO",$C95="3A",$C95="2A")),COUNT($N$2:N94)+1,"")</f>
        <v/>
      </c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>
      <c r="A96" s="29"/>
      <c r="B96" s="29" t="str">
        <f>IFERROR(INDEX(總表!$B:$B,MATCH($A96,總表!$A:$A,0)),"")</f>
        <v/>
      </c>
      <c r="C96" s="29" t="str">
        <f>IFERROR(INDEX(總表!$G:$G,MATCH($A96,總表!$A:$A,0)),"")</f>
        <v/>
      </c>
      <c r="D96" s="29" t="str">
        <f>IFERROR(INDEX(總表!$C:$C,MATCH($A96,總表!$A:$A,0)),"")</f>
        <v/>
      </c>
      <c r="E96" s="29" t="str">
        <f>IFERROR(INDEX(總表!$F:$F,MATCH($A96,總表!$A:$A,0)),"")</f>
        <v/>
      </c>
      <c r="F96" s="29"/>
      <c r="G96" s="29"/>
      <c r="H96" s="29"/>
      <c r="I96" s="29">
        <f t="shared" si="3"/>
        <v>99</v>
      </c>
      <c r="J96" s="29">
        <f t="shared" si="1"/>
        <v>99</v>
      </c>
      <c r="K96" s="29">
        <f t="shared" si="2"/>
        <v>99</v>
      </c>
      <c r="L96" s="29" t="str">
        <f>IF(AND($D96="投手",LEFT($F96,3)="YES",OR($C96="MLB",$C96="3A",$C96="2A",$C96="日職一軍",$C96="韓職一軍",$C96="KBO")),COUNT($L$3:L95)+1,"")</f>
        <v/>
      </c>
      <c r="M96" s="29" t="str">
        <f>IF(AND($D96&lt;&gt;"投手",$D96&lt;&gt;"",LEFT($F96,3)="YES",OR($C96="MLB",$C96="3A",$C96="2A",$C96="日職一軍",$C96="韓職一軍",$C96="KBO")),COUNT($M$3:M95)+1,"")</f>
        <v/>
      </c>
      <c r="N96" s="29" t="str">
        <f>IF(AND($D96="投手",$F96="YES",OR($C96="MLB",$C96="一軍",$C96="KBO",$C96="3A",$C96="2A")),COUNT($N$2:N95)+1,"")</f>
        <v/>
      </c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>
      <c r="A97" s="29"/>
      <c r="B97" s="29" t="str">
        <f>IFERROR(INDEX(總表!$B:$B,MATCH($A97,總表!$A:$A,0)),"")</f>
        <v/>
      </c>
      <c r="C97" s="29" t="str">
        <f>IFERROR(INDEX(總表!$G:$G,MATCH($A97,總表!$A:$A,0)),"")</f>
        <v/>
      </c>
      <c r="D97" s="29" t="str">
        <f>IFERROR(INDEX(總表!$C:$C,MATCH($A97,總表!$A:$A,0)),"")</f>
        <v/>
      </c>
      <c r="E97" s="29" t="str">
        <f>IFERROR(INDEX(總表!$F:$F,MATCH($A97,總表!$A:$A,0)),"")</f>
        <v/>
      </c>
      <c r="F97" s="29"/>
      <c r="G97" s="29"/>
      <c r="H97" s="29"/>
      <c r="I97" s="29">
        <f t="shared" si="3"/>
        <v>99</v>
      </c>
      <c r="J97" s="29">
        <f t="shared" si="1"/>
        <v>99</v>
      </c>
      <c r="K97" s="29">
        <f t="shared" si="2"/>
        <v>99</v>
      </c>
      <c r="L97" s="29" t="str">
        <f>IF(AND($D97="投手",LEFT($F97,3)="YES",OR($C97="MLB",$C97="3A",$C97="2A",$C97="日職一軍",$C97="韓職一軍",$C97="KBO")),COUNT($L$3:L96)+1,"")</f>
        <v/>
      </c>
      <c r="M97" s="29" t="str">
        <f>IF(AND($D97&lt;&gt;"投手",$D97&lt;&gt;"",LEFT($F97,3)="YES",OR($C97="MLB",$C97="3A",$C97="2A",$C97="日職一軍",$C97="韓職一軍",$C97="KBO")),COUNT($M$3:M96)+1,"")</f>
        <v/>
      </c>
      <c r="N97" s="29" t="str">
        <f>IF(AND($D97="投手",$F97="YES",OR($C97="MLB",$C97="一軍",$C97="KBO",$C97="3A",$C97="2A")),COUNT($N$2:N96)+1,"")</f>
        <v/>
      </c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>
      <c r="A98" s="29"/>
      <c r="B98" s="29" t="str">
        <f>IFERROR(INDEX(總表!$B:$B,MATCH($A98,總表!$A:$A,0)),"")</f>
        <v/>
      </c>
      <c r="C98" s="29" t="str">
        <f>IFERROR(INDEX(總表!$G:$G,MATCH($A98,總表!$A:$A,0)),"")</f>
        <v/>
      </c>
      <c r="D98" s="29" t="str">
        <f>IFERROR(INDEX(總表!$C:$C,MATCH($A98,總表!$A:$A,0)),"")</f>
        <v/>
      </c>
      <c r="E98" s="29" t="str">
        <f>IFERROR(INDEX(總表!$F:$F,MATCH($A98,總表!$A:$A,0)),"")</f>
        <v/>
      </c>
      <c r="F98" s="29"/>
      <c r="G98" s="29"/>
      <c r="H98" s="29"/>
      <c r="I98" s="29">
        <f t="shared" si="3"/>
        <v>99</v>
      </c>
      <c r="J98" s="29">
        <f t="shared" si="1"/>
        <v>99</v>
      </c>
      <c r="K98" s="29">
        <f t="shared" si="2"/>
        <v>99</v>
      </c>
      <c r="L98" s="29" t="str">
        <f>IF(AND($D98="投手",LEFT($F98,3)="YES",OR($C98="MLB",$C98="3A",$C98="2A",$C98="日職一軍",$C98="韓職一軍",$C98="KBO")),COUNT($L$3:L97)+1,"")</f>
        <v/>
      </c>
      <c r="M98" s="29" t="str">
        <f>IF(AND($D98&lt;&gt;"投手",$D98&lt;&gt;"",LEFT($F98,3)="YES",OR($C98="MLB",$C98="3A",$C98="2A",$C98="日職一軍",$C98="韓職一軍",$C98="KBO")),COUNT($M$3:M97)+1,"")</f>
        <v/>
      </c>
      <c r="N98" s="29" t="str">
        <f>IF(AND($D98="投手",$F98="YES",OR($C98="MLB",$C98="一軍",$C98="KBO",$C98="3A",$C98="2A")),COUNT($N$2:N97)+1,"")</f>
        <v/>
      </c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>
      <c r="A99" s="29"/>
      <c r="B99" s="29" t="str">
        <f>IFERROR(INDEX(總表!$B:$B,MATCH($A99,總表!$A:$A,0)),"")</f>
        <v/>
      </c>
      <c r="C99" s="29" t="str">
        <f>IFERROR(INDEX(總表!$G:$G,MATCH($A99,總表!$A:$A,0)),"")</f>
        <v/>
      </c>
      <c r="D99" s="29" t="str">
        <f>IFERROR(INDEX(總表!$C:$C,MATCH($A99,總表!$A:$A,0)),"")</f>
        <v/>
      </c>
      <c r="E99" s="29" t="str">
        <f>IFERROR(INDEX(總表!$F:$F,MATCH($A99,總表!$A:$A,0)),"")</f>
        <v/>
      </c>
      <c r="F99" s="29"/>
      <c r="G99" s="29"/>
      <c r="H99" s="29"/>
      <c r="I99" s="29">
        <f t="shared" si="3"/>
        <v>99</v>
      </c>
      <c r="J99" s="29">
        <f t="shared" si="1"/>
        <v>99</v>
      </c>
      <c r="K99" s="29">
        <f t="shared" si="2"/>
        <v>99</v>
      </c>
      <c r="L99" s="29" t="str">
        <f>IF(AND($D99="投手",LEFT($F99,3)="YES",OR($C99="MLB",$C99="3A",$C99="2A",$C99="日職一軍",$C99="韓職一軍",$C99="KBO")),COUNT($L$3:L98)+1,"")</f>
        <v/>
      </c>
      <c r="M99" s="29" t="str">
        <f>IF(AND($D99&lt;&gt;"投手",$D99&lt;&gt;"",LEFT($F99,3)="YES",OR($C99="MLB",$C99="3A",$C99="2A",$C99="日職一軍",$C99="韓職一軍",$C99="KBO")),COUNT($M$3:M98)+1,"")</f>
        <v/>
      </c>
      <c r="N99" s="29" t="str">
        <f>IF(AND($D99="投手",$F99="YES",OR($C99="MLB",$C99="一軍",$C99="KBO",$C99="3A",$C99="2A")),COUNT($N$2:N98)+1,"")</f>
        <v/>
      </c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>
      <c r="A100" s="29"/>
      <c r="B100" s="29" t="str">
        <f>IFERROR(INDEX(總表!$B:$B,MATCH($A100,總表!$A:$A,0)),"")</f>
        <v/>
      </c>
      <c r="C100" s="29" t="str">
        <f>IFERROR(INDEX(總表!$G:$G,MATCH($A100,總表!$A:$A,0)),"")</f>
        <v/>
      </c>
      <c r="D100" s="29" t="str">
        <f>IFERROR(INDEX(總表!$C:$C,MATCH($A100,總表!$A:$A,0)),"")</f>
        <v/>
      </c>
      <c r="E100" s="29" t="str">
        <f>IFERROR(INDEX(總表!$F:$F,MATCH($A100,總表!$A:$A,0)),"")</f>
        <v/>
      </c>
      <c r="F100" s="29"/>
      <c r="G100" s="29"/>
      <c r="H100" s="29"/>
      <c r="I100" s="29">
        <f t="shared" si="3"/>
        <v>99</v>
      </c>
      <c r="J100" s="29">
        <f t="shared" si="1"/>
        <v>99</v>
      </c>
      <c r="K100" s="29">
        <f t="shared" si="2"/>
        <v>99</v>
      </c>
      <c r="L100" s="29" t="str">
        <f>IF(AND($D100="投手",LEFT($F100,3)="YES",OR($C100="MLB",$C100="3A",$C100="2A",$C100="日職一軍",$C100="韓職一軍",$C100="KBO")),COUNT($L$3:L99)+1,"")</f>
        <v/>
      </c>
      <c r="M100" s="29" t="str">
        <f>IF(AND($D100&lt;&gt;"投手",$D100&lt;&gt;"",LEFT($F100,3)="YES",OR($C100="MLB",$C100="3A",$C100="2A",$C100="日職一軍",$C100="韓職一軍",$C100="KBO")),COUNT($M$3:M99)+1,"")</f>
        <v/>
      </c>
      <c r="N100" s="29" t="str">
        <f>IF(AND($D100="投手",$F100="YES",OR($C100="MLB",$C100="一軍",$C100="KBO",$C100="3A",$C100="2A")),COUNT($N$2:N99)+1,"")</f>
        <v/>
      </c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>
      <c r="A101" s="29"/>
      <c r="B101" s="29" t="str">
        <f>IFERROR(INDEX(總表!$B:$B,MATCH($A101,總表!$A:$A,0)),"")</f>
        <v/>
      </c>
      <c r="C101" s="29" t="str">
        <f>IFERROR(INDEX(總表!$G:$G,MATCH($A101,總表!$A:$A,0)),"")</f>
        <v/>
      </c>
      <c r="D101" s="29" t="str">
        <f>IFERROR(INDEX(總表!$C:$C,MATCH($A101,總表!$A:$A,0)),"")</f>
        <v/>
      </c>
      <c r="E101" s="29" t="str">
        <f>IFERROR(INDEX(總表!$F:$F,MATCH($A101,總表!$A:$A,0)),"")</f>
        <v/>
      </c>
      <c r="F101" s="29"/>
      <c r="G101" s="29"/>
      <c r="H101" s="29"/>
      <c r="I101" s="29">
        <f t="shared" si="3"/>
        <v>99</v>
      </c>
      <c r="J101" s="29">
        <f t="shared" si="1"/>
        <v>99</v>
      </c>
      <c r="K101" s="29">
        <f t="shared" si="2"/>
        <v>99</v>
      </c>
      <c r="L101" s="29" t="str">
        <f>IF(AND($D101="投手",LEFT($F101,3)="YES",OR($C101="MLB",$C101="3A",$C101="2A",$C101="日職一軍",$C101="韓職一軍",$C101="KBO")),COUNT($L$3:L100)+1,"")</f>
        <v/>
      </c>
      <c r="M101" s="29" t="str">
        <f>IF(AND($D101&lt;&gt;"投手",$D101&lt;&gt;"",LEFT($F101,3)="YES",OR($C101="MLB",$C101="3A",$C101="2A",$C101="日職一軍",$C101="韓職一軍",$C101="KBO")),COUNT($M$3:M100)+1,"")</f>
        <v/>
      </c>
      <c r="N101" s="29" t="str">
        <f>IF(AND($D101="投手",$F101="YES",OR($C101="MLB",$C101="一軍",$C101="KBO",$C101="3A",$C101="2A")),COUNT($N$2:N100)+1,"")</f>
        <v/>
      </c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>
      <c r="A102" s="29"/>
      <c r="B102" s="29" t="str">
        <f>IFERROR(INDEX(總表!$B:$B,MATCH($A102,總表!$A:$A,0)),"")</f>
        <v/>
      </c>
      <c r="C102" s="29" t="str">
        <f>IFERROR(INDEX(總表!$G:$G,MATCH($A102,總表!$A:$A,0)),"")</f>
        <v/>
      </c>
      <c r="D102" s="29" t="str">
        <f>IFERROR(INDEX(總表!$C:$C,MATCH($A102,總表!$A:$A,0)),"")</f>
        <v/>
      </c>
      <c r="E102" s="29" t="str">
        <f>IFERROR(INDEX(總表!$F:$F,MATCH($A102,總表!$A:$A,0)),"")</f>
        <v/>
      </c>
      <c r="F102" s="29"/>
      <c r="G102" s="29"/>
      <c r="H102" s="29"/>
      <c r="I102" s="29">
        <f t="shared" si="3"/>
        <v>99</v>
      </c>
      <c r="J102" s="29">
        <f t="shared" si="1"/>
        <v>99</v>
      </c>
      <c r="K102" s="29">
        <f t="shared" si="2"/>
        <v>99</v>
      </c>
      <c r="L102" s="29" t="str">
        <f>IF(AND($D102="投手",LEFT($F102,3)="YES",OR($C102="MLB",$C102="3A",$C102="2A",$C102="日職一軍",$C102="韓職一軍",$C102="KBO")),COUNT($L$3:L101)+1,"")</f>
        <v/>
      </c>
      <c r="M102" s="29" t="str">
        <f>IF(AND($D102&lt;&gt;"投手",$D102&lt;&gt;"",LEFT($F102,3)="YES",OR($C102="MLB",$C102="3A",$C102="2A",$C102="日職一軍",$C102="韓職一軍",$C102="KBO")),COUNT($M$3:M101)+1,"")</f>
        <v/>
      </c>
      <c r="N102" s="29" t="str">
        <f>IF(AND($D102="投手",$F102="YES",OR($C102="MLB",$C102="一軍",$C102="KBO",$C102="3A",$C102="2A")),COUNT($N$2:N101)+1,"")</f>
        <v/>
      </c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>
      <c r="A103" s="29"/>
      <c r="B103" s="29" t="str">
        <f>IFERROR(INDEX(總表!$B:$B,MATCH($A103,總表!$A:$A,0)),"")</f>
        <v/>
      </c>
      <c r="C103" s="29" t="str">
        <f>IFERROR(INDEX(總表!$G:$G,MATCH($A103,總表!$A:$A,0)),"")</f>
        <v/>
      </c>
      <c r="D103" s="29" t="str">
        <f>IFERROR(INDEX(總表!$C:$C,MATCH($A103,總表!$A:$A,0)),"")</f>
        <v/>
      </c>
      <c r="E103" s="29" t="str">
        <f>IFERROR(INDEX(總表!$F:$F,MATCH($A103,總表!$A:$A,0)),"")</f>
        <v/>
      </c>
      <c r="F103" s="29"/>
      <c r="G103" s="29"/>
      <c r="H103" s="29"/>
      <c r="I103" s="29">
        <f t="shared" si="3"/>
        <v>99</v>
      </c>
      <c r="J103" s="29">
        <f t="shared" si="1"/>
        <v>99</v>
      </c>
      <c r="K103" s="29">
        <f t="shared" si="2"/>
        <v>99</v>
      </c>
      <c r="L103" s="29" t="str">
        <f>IF(AND($D103="投手",LEFT($F103,3)="YES",OR($C103="MLB",$C103="3A",$C103="2A",$C103="日職一軍",$C103="韓職一軍",$C103="KBO")),COUNT($L$3:L102)+1,"")</f>
        <v/>
      </c>
      <c r="M103" s="29" t="str">
        <f>IF(AND($D103&lt;&gt;"投手",$D103&lt;&gt;"",LEFT($F103,3)="YES",OR($C103="MLB",$C103="3A",$C103="2A",$C103="日職一軍",$C103="韓職一軍",$C103="KBO")),COUNT($M$3:M102)+1,"")</f>
        <v/>
      </c>
      <c r="N103" s="29" t="str">
        <f>IF(AND($D103="投手",$F103="YES",OR($C103="MLB",$C103="一軍",$C103="KBO",$C103="3A",$C103="2A")),COUNT($N$2:N102)+1,"")</f>
        <v/>
      </c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>
      <c r="A104" s="29"/>
      <c r="B104" s="29" t="str">
        <f>IFERROR(INDEX(總表!$B:$B,MATCH($A104,總表!$A:$A,0)),"")</f>
        <v/>
      </c>
      <c r="C104" s="29" t="str">
        <f>IFERROR(INDEX(總表!$G:$G,MATCH($A104,總表!$A:$A,0)),"")</f>
        <v/>
      </c>
      <c r="D104" s="29" t="str">
        <f>IFERROR(INDEX(總表!$C:$C,MATCH($A104,總表!$A:$A,0)),"")</f>
        <v/>
      </c>
      <c r="E104" s="29" t="str">
        <f>IFERROR(INDEX(總表!$F:$F,MATCH($A104,總表!$A:$A,0)),"")</f>
        <v/>
      </c>
      <c r="F104" s="29"/>
      <c r="G104" s="29"/>
      <c r="H104" s="29"/>
      <c r="I104" s="29">
        <f t="shared" si="3"/>
        <v>99</v>
      </c>
      <c r="J104" s="29">
        <f t="shared" si="1"/>
        <v>99</v>
      </c>
      <c r="K104" s="29">
        <f t="shared" si="2"/>
        <v>99</v>
      </c>
      <c r="L104" s="29" t="str">
        <f>IF(AND($D104="投手",LEFT($F104,3)="YES",OR($C104="MLB",$C104="3A",$C104="2A",$C104="日職一軍",$C104="韓職一軍",$C104="KBO")),COUNT($L$3:L103)+1,"")</f>
        <v/>
      </c>
      <c r="M104" s="29" t="str">
        <f>IF(AND($D104&lt;&gt;"投手",$D104&lt;&gt;"",LEFT($F104,3)="YES",OR($C104="MLB",$C104="3A",$C104="2A",$C104="日職一軍",$C104="韓職一軍",$C104="KBO")),COUNT($M$3:M103)+1,"")</f>
        <v/>
      </c>
      <c r="N104" s="29" t="str">
        <f>IF(AND($D104="投手",$F104="YES",OR($C104="MLB",$C104="一軍",$C104="KBO",$C104="3A",$C104="2A")),COUNT($N$2:N103)+1,"")</f>
        <v/>
      </c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>
      <c r="A105" s="29"/>
      <c r="B105" s="29" t="str">
        <f>IFERROR(INDEX(總表!$B:$B,MATCH($A105,總表!$A:$A,0)),"")</f>
        <v/>
      </c>
      <c r="C105" s="29" t="str">
        <f>IFERROR(INDEX(總表!$G:$G,MATCH($A105,總表!$A:$A,0)),"")</f>
        <v/>
      </c>
      <c r="D105" s="29" t="str">
        <f>IFERROR(INDEX(總表!$C:$C,MATCH($A105,總表!$A:$A,0)),"")</f>
        <v/>
      </c>
      <c r="E105" s="29" t="str">
        <f>IFERROR(INDEX(總表!$F:$F,MATCH($A105,總表!$A:$A,0)),"")</f>
        <v/>
      </c>
      <c r="F105" s="29"/>
      <c r="G105" s="29"/>
      <c r="H105" s="29"/>
      <c r="I105" s="29">
        <f t="shared" si="3"/>
        <v>99</v>
      </c>
      <c r="J105" s="29">
        <f t="shared" si="1"/>
        <v>99</v>
      </c>
      <c r="K105" s="29">
        <f t="shared" si="2"/>
        <v>99</v>
      </c>
      <c r="L105" s="29" t="str">
        <f>IF(AND($D105="投手",LEFT($F105,3)="YES",OR($C105="MLB",$C105="3A",$C105="2A",$C105="日職一軍",$C105="韓職一軍",$C105="KBO")),COUNT($L$3:L104)+1,"")</f>
        <v/>
      </c>
      <c r="M105" s="29" t="str">
        <f>IF(AND($D105&lt;&gt;"投手",$D105&lt;&gt;"",LEFT($F105,3)="YES",OR($C105="MLB",$C105="3A",$C105="2A",$C105="日職一軍",$C105="韓職一軍",$C105="KBO")),COUNT($M$3:M104)+1,"")</f>
        <v/>
      </c>
      <c r="N105" s="29" t="str">
        <f>IF(AND($D105="投手",$F105="YES",OR($C105="MLB",$C105="一軍",$C105="KBO",$C105="3A",$C105="2A")),COUNT($N$2:N104)+1,"")</f>
        <v/>
      </c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>
      <c r="A106" s="29"/>
      <c r="B106" s="29" t="str">
        <f>IFERROR(INDEX(總表!$B:$B,MATCH($A106,總表!$A:$A,0)),"")</f>
        <v/>
      </c>
      <c r="C106" s="29" t="str">
        <f>IFERROR(INDEX(總表!$G:$G,MATCH($A106,總表!$A:$A,0)),"")</f>
        <v/>
      </c>
      <c r="D106" s="29" t="str">
        <f>IFERROR(INDEX(總表!$C:$C,MATCH($A106,總表!$A:$A,0)),"")</f>
        <v/>
      </c>
      <c r="E106" s="29" t="str">
        <f>IFERROR(INDEX(總表!$F:$F,MATCH($A106,總表!$A:$A,0)),"")</f>
        <v/>
      </c>
      <c r="F106" s="29"/>
      <c r="G106" s="29"/>
      <c r="H106" s="29"/>
      <c r="I106" s="29">
        <f t="shared" si="3"/>
        <v>99</v>
      </c>
      <c r="J106" s="29">
        <f t="shared" si="1"/>
        <v>99</v>
      </c>
      <c r="K106" s="29">
        <f t="shared" si="2"/>
        <v>99</v>
      </c>
      <c r="L106" s="29" t="str">
        <f>IF(AND($D106="投手",LEFT($F106,3)="YES",OR($C106="MLB",$C106="3A",$C106="2A",$C106="日職一軍",$C106="韓職一軍",$C106="KBO")),COUNT($L$3:L105)+1,"")</f>
        <v/>
      </c>
      <c r="M106" s="29" t="str">
        <f>IF(AND($D106&lt;&gt;"投手",$D106&lt;&gt;"",LEFT($F106,3)="YES",OR($C106="MLB",$C106="3A",$C106="2A",$C106="日職一軍",$C106="韓職一軍",$C106="KBO")),COUNT($M$3:M105)+1,"")</f>
        <v/>
      </c>
      <c r="N106" s="29" t="str">
        <f>IF(AND($D106="投手",$F106="YES",OR($C106="MLB",$C106="一軍",$C106="KBO",$C106="3A",$C106="2A")),COUNT($N$2:N105)+1,"")</f>
        <v/>
      </c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>
      <c r="A107" s="29"/>
      <c r="B107" s="29" t="str">
        <f>IFERROR(INDEX(總表!$B:$B,MATCH($A107,總表!$A:$A,0)),"")</f>
        <v/>
      </c>
      <c r="C107" s="29" t="str">
        <f>IFERROR(INDEX(總表!$G:$G,MATCH($A107,總表!$A:$A,0)),"")</f>
        <v/>
      </c>
      <c r="D107" s="29" t="str">
        <f>IFERROR(INDEX(總表!$C:$C,MATCH($A107,總表!$A:$A,0)),"")</f>
        <v/>
      </c>
      <c r="E107" s="29" t="str">
        <f>IFERROR(INDEX(總表!$F:$F,MATCH($A107,總表!$A:$A,0)),"")</f>
        <v/>
      </c>
      <c r="F107" s="29"/>
      <c r="G107" s="29"/>
      <c r="H107" s="29"/>
      <c r="I107" s="29">
        <f t="shared" si="3"/>
        <v>99</v>
      </c>
      <c r="J107" s="29">
        <f t="shared" si="1"/>
        <v>99</v>
      </c>
      <c r="K107" s="29">
        <f t="shared" si="2"/>
        <v>99</v>
      </c>
      <c r="L107" s="29" t="str">
        <f>IF(AND($D107="投手",LEFT($F107,3)="YES",OR($C107="MLB",$C107="3A",$C107="2A",$C107="日職一軍",$C107="韓職一軍",$C107="KBO")),COUNT($L$3:L106)+1,"")</f>
        <v/>
      </c>
      <c r="M107" s="29" t="str">
        <f>IF(AND($D107&lt;&gt;"投手",$D107&lt;&gt;"",LEFT($F107,3)="YES",OR($C107="MLB",$C107="3A",$C107="2A",$C107="日職一軍",$C107="韓職一軍",$C107="KBO")),COUNT($M$3:M106)+1,"")</f>
        <v/>
      </c>
      <c r="N107" s="29" t="str">
        <f>IF(AND($D107="投手",$F107="YES",OR($C107="MLB",$C107="一軍",$C107="KBO",$C107="3A",$C107="2A")),COUNT($N$2:N106)+1,"")</f>
        <v/>
      </c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>
      <c r="A108" s="29"/>
      <c r="B108" s="29" t="str">
        <f>IFERROR(INDEX(總表!$B:$B,MATCH($A108,總表!$A:$A,0)),"")</f>
        <v/>
      </c>
      <c r="C108" s="29" t="str">
        <f>IFERROR(INDEX(總表!$G:$G,MATCH($A108,總表!$A:$A,0)),"")</f>
        <v/>
      </c>
      <c r="D108" s="29" t="str">
        <f>IFERROR(INDEX(總表!$C:$C,MATCH($A108,總表!$A:$A,0)),"")</f>
        <v/>
      </c>
      <c r="E108" s="29" t="str">
        <f>IFERROR(INDEX(總表!$F:$F,MATCH($A108,總表!$A:$A,0)),"")</f>
        <v/>
      </c>
      <c r="F108" s="29"/>
      <c r="G108" s="29"/>
      <c r="H108" s="29"/>
      <c r="I108" s="29">
        <f t="shared" si="3"/>
        <v>99</v>
      </c>
      <c r="J108" s="29">
        <f t="shared" si="1"/>
        <v>99</v>
      </c>
      <c r="K108" s="29">
        <f t="shared" si="2"/>
        <v>99</v>
      </c>
      <c r="L108" s="29" t="str">
        <f>IF(AND($D108="投手",LEFT($F108,3)="YES",OR($C108="MLB",$C108="3A",$C108="2A",$C108="日職一軍",$C108="韓職一軍",$C108="KBO")),COUNT($L$3:L107)+1,"")</f>
        <v/>
      </c>
      <c r="M108" s="29" t="str">
        <f>IF(AND($D108&lt;&gt;"投手",$D108&lt;&gt;"",LEFT($F108,3)="YES",OR($C108="MLB",$C108="3A",$C108="2A",$C108="日職一軍",$C108="韓職一軍",$C108="KBO")),COUNT($M$3:M107)+1,"")</f>
        <v/>
      </c>
      <c r="N108" s="29" t="str">
        <f>IF(AND($D108="投手",$F108="YES",OR($C108="MLB",$C108="一軍",$C108="KBO",$C108="3A",$C108="2A")),COUNT($N$2:N107)+1,"")</f>
        <v/>
      </c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>
      <c r="A109" s="29"/>
      <c r="B109" s="29" t="str">
        <f>IFERROR(INDEX(總表!$B:$B,MATCH($A109,總表!$A:$A,0)),"")</f>
        <v/>
      </c>
      <c r="C109" s="29" t="str">
        <f>IFERROR(INDEX(總表!$G:$G,MATCH($A109,總表!$A:$A,0)),"")</f>
        <v/>
      </c>
      <c r="D109" s="29" t="str">
        <f>IFERROR(INDEX(總表!$C:$C,MATCH($A109,總表!$A:$A,0)),"")</f>
        <v/>
      </c>
      <c r="E109" s="29" t="str">
        <f>IFERROR(INDEX(總表!$F:$F,MATCH($A109,總表!$A:$A,0)),"")</f>
        <v/>
      </c>
      <c r="F109" s="29"/>
      <c r="G109" s="29"/>
      <c r="H109" s="29"/>
      <c r="I109" s="29">
        <f t="shared" si="3"/>
        <v>99</v>
      </c>
      <c r="J109" s="29">
        <f t="shared" ref="J109:J172" si="4">IF($B109="旅美",1,IF($B109="旅日",2,IF($B109="旅韓",3,IF($B109="台裔",4,IF($B109&lt;&gt;"",5,99)))))</f>
        <v>99</v>
      </c>
      <c r="K109" s="29">
        <f t="shared" ref="K109:K172" si="5">IF($C109="MLB",1,IF($C109="3A",2,IF($C109="2A",3,IF(OR($C109="A+",$C109="高A"),4,IF($C109="1A",5,IF(OR($C109="RK",$C109="Rookie"),6,IF($C109="日職一軍",7,IF($C109="日職二軍",8,IF(OR($C109="韓職一軍",$C109="KBO"),9,IF($C109&lt;&gt;"",10,99))))))))))</f>
        <v>99</v>
      </c>
      <c r="L109" s="29" t="str">
        <f>IF(AND($D109="投手",LEFT($F109,3)="YES",OR($C109="MLB",$C109="3A",$C109="2A",$C109="日職一軍",$C109="韓職一軍",$C109="KBO")),COUNT($L$3:L108)+1,"")</f>
        <v/>
      </c>
      <c r="M109" s="29" t="str">
        <f>IF(AND($D109&lt;&gt;"投手",$D109&lt;&gt;"",LEFT($F109,3)="YES",OR($C109="MLB",$C109="3A",$C109="2A",$C109="日職一軍",$C109="韓職一軍",$C109="KBO")),COUNT($M$3:M108)+1,"")</f>
        <v/>
      </c>
      <c r="N109" s="29" t="str">
        <f>IF(AND($D109="投手",$F109="YES",OR($C109="MLB",$C109="一軍",$C109="KBO",$C109="3A",$C109="2A")),COUNT($N$2:N108)+1,"")</f>
        <v/>
      </c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>
      <c r="A110" s="29"/>
      <c r="B110" s="29" t="str">
        <f>IFERROR(INDEX(總表!$B:$B,MATCH($A110,總表!$A:$A,0)),"")</f>
        <v/>
      </c>
      <c r="C110" s="29" t="str">
        <f>IFERROR(INDEX(總表!$G:$G,MATCH($A110,總表!$A:$A,0)),"")</f>
        <v/>
      </c>
      <c r="D110" s="29" t="str">
        <f>IFERROR(INDEX(總表!$C:$C,MATCH($A110,總表!$A:$A,0)),"")</f>
        <v/>
      </c>
      <c r="E110" s="29" t="str">
        <f>IFERROR(INDEX(總表!$F:$F,MATCH($A110,總表!$A:$A,0)),"")</f>
        <v/>
      </c>
      <c r="F110" s="29"/>
      <c r="G110" s="29"/>
      <c r="H110" s="29"/>
      <c r="I110" s="29">
        <f t="shared" si="3"/>
        <v>99</v>
      </c>
      <c r="J110" s="29">
        <f t="shared" si="4"/>
        <v>99</v>
      </c>
      <c r="K110" s="29">
        <f t="shared" si="5"/>
        <v>99</v>
      </c>
      <c r="L110" s="29" t="str">
        <f>IF(AND($D110="投手",LEFT($F110,3)="YES",OR($C110="MLB",$C110="3A",$C110="2A",$C110="日職一軍",$C110="韓職一軍",$C110="KBO")),COUNT($L$3:L109)+1,"")</f>
        <v/>
      </c>
      <c r="M110" s="29" t="str">
        <f>IF(AND($D110&lt;&gt;"投手",$D110&lt;&gt;"",LEFT($F110,3)="YES",OR($C110="MLB",$C110="3A",$C110="2A",$C110="日職一軍",$C110="韓職一軍",$C110="KBO")),COUNT($M$3:M109)+1,"")</f>
        <v/>
      </c>
      <c r="N110" s="29" t="str">
        <f>IF(AND($D110="投手",$F110="YES",OR($C110="MLB",$C110="一軍",$C110="KBO",$C110="3A",$C110="2A")),COUNT($N$2:N109)+1,"")</f>
        <v/>
      </c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>
      <c r="A111" s="29"/>
      <c r="B111" s="29" t="str">
        <f>IFERROR(INDEX(總表!$B:$B,MATCH($A111,總表!$A:$A,0)),"")</f>
        <v/>
      </c>
      <c r="C111" s="29" t="str">
        <f>IFERROR(INDEX(總表!$G:$G,MATCH($A111,總表!$A:$A,0)),"")</f>
        <v/>
      </c>
      <c r="D111" s="29" t="str">
        <f>IFERROR(INDEX(總表!$C:$C,MATCH($A111,總表!$A:$A,0)),"")</f>
        <v/>
      </c>
      <c r="E111" s="29" t="str">
        <f>IFERROR(INDEX(總表!$F:$F,MATCH($A111,總表!$A:$A,0)),"")</f>
        <v/>
      </c>
      <c r="F111" s="29"/>
      <c r="G111" s="29"/>
      <c r="H111" s="29"/>
      <c r="I111" s="29">
        <f t="shared" si="3"/>
        <v>99</v>
      </c>
      <c r="J111" s="29">
        <f t="shared" si="4"/>
        <v>99</v>
      </c>
      <c r="K111" s="29">
        <f t="shared" si="5"/>
        <v>99</v>
      </c>
      <c r="L111" s="29" t="str">
        <f>IF(AND($D111="投手",LEFT($F111,3)="YES",OR($C111="MLB",$C111="3A",$C111="2A",$C111="日職一軍",$C111="韓職一軍",$C111="KBO")),COUNT($L$3:L110)+1,"")</f>
        <v/>
      </c>
      <c r="M111" s="29" t="str">
        <f>IF(AND($D111&lt;&gt;"投手",$D111&lt;&gt;"",LEFT($F111,3)="YES",OR($C111="MLB",$C111="3A",$C111="2A",$C111="日職一軍",$C111="韓職一軍",$C111="KBO")),COUNT($M$3:M110)+1,"")</f>
        <v/>
      </c>
      <c r="N111" s="29" t="str">
        <f>IF(AND($D111="投手",$F111="YES",OR($C111="MLB",$C111="一軍",$C111="KBO",$C111="3A",$C111="2A")),COUNT($N$2:N110)+1,"")</f>
        <v/>
      </c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>
      <c r="A112" s="29"/>
      <c r="B112" s="29" t="str">
        <f>IFERROR(INDEX(總表!$B:$B,MATCH($A112,總表!$A:$A,0)),"")</f>
        <v/>
      </c>
      <c r="C112" s="29" t="str">
        <f>IFERROR(INDEX(總表!$G:$G,MATCH($A112,總表!$A:$A,0)),"")</f>
        <v/>
      </c>
      <c r="D112" s="29" t="str">
        <f>IFERROR(INDEX(總表!$C:$C,MATCH($A112,總表!$A:$A,0)),"")</f>
        <v/>
      </c>
      <c r="E112" s="29" t="str">
        <f>IFERROR(INDEX(總表!$F:$F,MATCH($A112,總表!$A:$A,0)),"")</f>
        <v/>
      </c>
      <c r="F112" s="29"/>
      <c r="G112" s="29"/>
      <c r="H112" s="29"/>
      <c r="I112" s="29">
        <f t="shared" si="3"/>
        <v>99</v>
      </c>
      <c r="J112" s="29">
        <f t="shared" si="4"/>
        <v>99</v>
      </c>
      <c r="K112" s="29">
        <f t="shared" si="5"/>
        <v>99</v>
      </c>
      <c r="L112" s="29" t="str">
        <f>IF(AND($D112="投手",LEFT($F112,3)="YES",OR($C112="MLB",$C112="3A",$C112="2A",$C112="日職一軍",$C112="韓職一軍",$C112="KBO")),COUNT($L$3:L111)+1,"")</f>
        <v/>
      </c>
      <c r="M112" s="29" t="str">
        <f>IF(AND($D112&lt;&gt;"投手",$D112&lt;&gt;"",LEFT($F112,3)="YES",OR($C112="MLB",$C112="3A",$C112="2A",$C112="日職一軍",$C112="韓職一軍",$C112="KBO")),COUNT($M$3:M111)+1,"")</f>
        <v/>
      </c>
      <c r="N112" s="29" t="str">
        <f>IF(AND($D112="投手",$F112="YES",OR($C112="MLB",$C112="一軍",$C112="KBO",$C112="3A",$C112="2A")),COUNT($N$2:N111)+1,"")</f>
        <v/>
      </c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>
      <c r="A113" s="29"/>
      <c r="B113" s="29" t="str">
        <f>IFERROR(INDEX(總表!$B:$B,MATCH($A113,總表!$A:$A,0)),"")</f>
        <v/>
      </c>
      <c r="C113" s="29" t="str">
        <f>IFERROR(INDEX(總表!$G:$G,MATCH($A113,總表!$A:$A,0)),"")</f>
        <v/>
      </c>
      <c r="D113" s="29" t="str">
        <f>IFERROR(INDEX(總表!$C:$C,MATCH($A113,總表!$A:$A,0)),"")</f>
        <v/>
      </c>
      <c r="E113" s="29" t="str">
        <f>IFERROR(INDEX(總表!$F:$F,MATCH($A113,總表!$A:$A,0)),"")</f>
        <v/>
      </c>
      <c r="F113" s="29"/>
      <c r="G113" s="29"/>
      <c r="H113" s="29"/>
      <c r="I113" s="29">
        <f t="shared" si="3"/>
        <v>99</v>
      </c>
      <c r="J113" s="29">
        <f t="shared" si="4"/>
        <v>99</v>
      </c>
      <c r="K113" s="29">
        <f t="shared" si="5"/>
        <v>99</v>
      </c>
      <c r="L113" s="29" t="str">
        <f>IF(AND($D113="投手",LEFT($F113,3)="YES",OR($C113="MLB",$C113="3A",$C113="2A",$C113="日職一軍",$C113="韓職一軍",$C113="KBO")),COUNT($L$3:L112)+1,"")</f>
        <v/>
      </c>
      <c r="M113" s="29" t="str">
        <f>IF(AND($D113&lt;&gt;"投手",$D113&lt;&gt;"",LEFT($F113,3)="YES",OR($C113="MLB",$C113="3A",$C113="2A",$C113="日職一軍",$C113="韓職一軍",$C113="KBO")),COUNT($M$3:M112)+1,"")</f>
        <v/>
      </c>
      <c r="N113" s="29" t="str">
        <f>IF(AND($D113="投手",$F113="YES",OR($C113="MLB",$C113="一軍",$C113="KBO",$C113="3A",$C113="2A")),COUNT($N$2:N112)+1,"")</f>
        <v/>
      </c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>
      <c r="A114" s="29"/>
      <c r="B114" s="29" t="str">
        <f>IFERROR(INDEX(總表!$B:$B,MATCH($A114,總表!$A:$A,0)),"")</f>
        <v/>
      </c>
      <c r="C114" s="29" t="str">
        <f>IFERROR(INDEX(總表!$G:$G,MATCH($A114,總表!$A:$A,0)),"")</f>
        <v/>
      </c>
      <c r="D114" s="29" t="str">
        <f>IFERROR(INDEX(總表!$C:$C,MATCH($A114,總表!$A:$A,0)),"")</f>
        <v/>
      </c>
      <c r="E114" s="29" t="str">
        <f>IFERROR(INDEX(總表!$F:$F,MATCH($A114,總表!$A:$A,0)),"")</f>
        <v/>
      </c>
      <c r="F114" s="29"/>
      <c r="G114" s="29"/>
      <c r="H114" s="29"/>
      <c r="I114" s="29">
        <f t="shared" si="3"/>
        <v>99</v>
      </c>
      <c r="J114" s="29">
        <f t="shared" si="4"/>
        <v>99</v>
      </c>
      <c r="K114" s="29">
        <f t="shared" si="5"/>
        <v>99</v>
      </c>
      <c r="L114" s="29" t="str">
        <f>IF(AND($D114="投手",LEFT($F114,3)="YES",OR($C114="MLB",$C114="3A",$C114="2A",$C114="日職一軍",$C114="韓職一軍",$C114="KBO")),COUNT($L$3:L113)+1,"")</f>
        <v/>
      </c>
      <c r="M114" s="29" t="str">
        <f>IF(AND($D114&lt;&gt;"投手",$D114&lt;&gt;"",LEFT($F114,3)="YES",OR($C114="MLB",$C114="3A",$C114="2A",$C114="日職一軍",$C114="韓職一軍",$C114="KBO")),COUNT($M$3:M113)+1,"")</f>
        <v/>
      </c>
      <c r="N114" s="29" t="str">
        <f>IF(AND($D114="投手",$F114="YES",OR($C114="MLB",$C114="一軍",$C114="KBO",$C114="3A",$C114="2A")),COUNT($N$2:N113)+1,"")</f>
        <v/>
      </c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>
      <c r="A115" s="29"/>
      <c r="B115" s="29" t="str">
        <f>IFERROR(INDEX(總表!$B:$B,MATCH($A115,總表!$A:$A,0)),"")</f>
        <v/>
      </c>
      <c r="C115" s="29" t="str">
        <f>IFERROR(INDEX(總表!$G:$G,MATCH($A115,總表!$A:$A,0)),"")</f>
        <v/>
      </c>
      <c r="D115" s="29" t="str">
        <f>IFERROR(INDEX(總表!$C:$C,MATCH($A115,總表!$A:$A,0)),"")</f>
        <v/>
      </c>
      <c r="E115" s="29" t="str">
        <f>IFERROR(INDEX(總表!$F:$F,MATCH($A115,總表!$A:$A,0)),"")</f>
        <v/>
      </c>
      <c r="F115" s="29"/>
      <c r="G115" s="29"/>
      <c r="H115" s="29"/>
      <c r="I115" s="29">
        <f t="shared" si="3"/>
        <v>99</v>
      </c>
      <c r="J115" s="29">
        <f t="shared" si="4"/>
        <v>99</v>
      </c>
      <c r="K115" s="29">
        <f t="shared" si="5"/>
        <v>99</v>
      </c>
      <c r="L115" s="29" t="str">
        <f>IF(AND($D115="投手",LEFT($F115,3)="YES",OR($C115="MLB",$C115="3A",$C115="2A",$C115="日職一軍",$C115="韓職一軍",$C115="KBO")),COUNT($L$3:L114)+1,"")</f>
        <v/>
      </c>
      <c r="M115" s="29" t="str">
        <f>IF(AND($D115&lt;&gt;"投手",$D115&lt;&gt;"",LEFT($F115,3)="YES",OR($C115="MLB",$C115="3A",$C115="2A",$C115="日職一軍",$C115="韓職一軍",$C115="KBO")),COUNT($M$3:M114)+1,"")</f>
        <v/>
      </c>
      <c r="N115" s="29" t="str">
        <f>IF(AND($D115="投手",$F115="YES",OR($C115="MLB",$C115="一軍",$C115="KBO",$C115="3A",$C115="2A")),COUNT($N$2:N114)+1,"")</f>
        <v/>
      </c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>
      <c r="A116" s="29"/>
      <c r="B116" s="29" t="str">
        <f>IFERROR(INDEX(總表!$B:$B,MATCH($A116,總表!$A:$A,0)),"")</f>
        <v/>
      </c>
      <c r="C116" s="29" t="str">
        <f>IFERROR(INDEX(總表!$G:$G,MATCH($A116,總表!$A:$A,0)),"")</f>
        <v/>
      </c>
      <c r="D116" s="29" t="str">
        <f>IFERROR(INDEX(總表!$C:$C,MATCH($A116,總表!$A:$A,0)),"")</f>
        <v/>
      </c>
      <c r="E116" s="29" t="str">
        <f>IFERROR(INDEX(總表!$F:$F,MATCH($A116,總表!$A:$A,0)),"")</f>
        <v/>
      </c>
      <c r="F116" s="29"/>
      <c r="G116" s="29"/>
      <c r="H116" s="29"/>
      <c r="I116" s="29">
        <f t="shared" si="3"/>
        <v>99</v>
      </c>
      <c r="J116" s="29">
        <f t="shared" si="4"/>
        <v>99</v>
      </c>
      <c r="K116" s="29">
        <f t="shared" si="5"/>
        <v>99</v>
      </c>
      <c r="L116" s="29" t="str">
        <f>IF(AND($D116="投手",LEFT($F116,3)="YES",OR($C116="MLB",$C116="3A",$C116="2A",$C116="日職一軍",$C116="韓職一軍",$C116="KBO")),COUNT($L$3:L115)+1,"")</f>
        <v/>
      </c>
      <c r="M116" s="29" t="str">
        <f>IF(AND($D116&lt;&gt;"投手",$D116&lt;&gt;"",LEFT($F116,3)="YES",OR($C116="MLB",$C116="3A",$C116="2A",$C116="日職一軍",$C116="韓職一軍",$C116="KBO")),COUNT($M$3:M115)+1,"")</f>
        <v/>
      </c>
      <c r="N116" s="29" t="str">
        <f>IF(AND($D116="投手",$F116="YES",OR($C116="MLB",$C116="一軍",$C116="KBO",$C116="3A",$C116="2A")),COUNT($N$2:N115)+1,"")</f>
        <v/>
      </c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>
      <c r="A117" s="29"/>
      <c r="B117" s="29" t="str">
        <f>IFERROR(INDEX(總表!$B:$B,MATCH($A117,總表!$A:$A,0)),"")</f>
        <v/>
      </c>
      <c r="C117" s="29" t="str">
        <f>IFERROR(INDEX(總表!$G:$G,MATCH($A117,總表!$A:$A,0)),"")</f>
        <v/>
      </c>
      <c r="D117" s="29" t="str">
        <f>IFERROR(INDEX(總表!$C:$C,MATCH($A117,總表!$A:$A,0)),"")</f>
        <v/>
      </c>
      <c r="E117" s="29" t="str">
        <f>IFERROR(INDEX(總表!$F:$F,MATCH($A117,總表!$A:$A,0)),"")</f>
        <v/>
      </c>
      <c r="F117" s="29"/>
      <c r="G117" s="29"/>
      <c r="H117" s="29"/>
      <c r="I117" s="29">
        <f t="shared" si="3"/>
        <v>99</v>
      </c>
      <c r="J117" s="29">
        <f t="shared" si="4"/>
        <v>99</v>
      </c>
      <c r="K117" s="29">
        <f t="shared" si="5"/>
        <v>99</v>
      </c>
      <c r="L117" s="29" t="str">
        <f>IF(AND($D117="投手",LEFT($F117,3)="YES",OR($C117="MLB",$C117="3A",$C117="2A",$C117="日職一軍",$C117="韓職一軍",$C117="KBO")),COUNT($L$3:L116)+1,"")</f>
        <v/>
      </c>
      <c r="M117" s="29" t="str">
        <f>IF(AND($D117&lt;&gt;"投手",$D117&lt;&gt;"",LEFT($F117,3)="YES",OR($C117="MLB",$C117="3A",$C117="2A",$C117="日職一軍",$C117="韓職一軍",$C117="KBO")),COUNT($M$3:M116)+1,"")</f>
        <v/>
      </c>
      <c r="N117" s="29" t="str">
        <f>IF(AND($D117="投手",$F117="YES",OR($C117="MLB",$C117="一軍",$C117="KBO",$C117="3A",$C117="2A")),COUNT($N$2:N116)+1,"")</f>
        <v/>
      </c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>
      <c r="A118" s="29"/>
      <c r="B118" s="29" t="str">
        <f>IFERROR(INDEX(總表!$B:$B,MATCH($A118,總表!$A:$A,0)),"")</f>
        <v/>
      </c>
      <c r="C118" s="29" t="str">
        <f>IFERROR(INDEX(總表!$G:$G,MATCH($A118,總表!$A:$A,0)),"")</f>
        <v/>
      </c>
      <c r="D118" s="29" t="str">
        <f>IFERROR(INDEX(總表!$C:$C,MATCH($A118,總表!$A:$A,0)),"")</f>
        <v/>
      </c>
      <c r="E118" s="29" t="str">
        <f>IFERROR(INDEX(總表!$F:$F,MATCH($A118,總表!$A:$A,0)),"")</f>
        <v/>
      </c>
      <c r="F118" s="29"/>
      <c r="G118" s="29"/>
      <c r="H118" s="29"/>
      <c r="I118" s="29">
        <f t="shared" si="3"/>
        <v>99</v>
      </c>
      <c r="J118" s="29">
        <f t="shared" si="4"/>
        <v>99</v>
      </c>
      <c r="K118" s="29">
        <f t="shared" si="5"/>
        <v>99</v>
      </c>
      <c r="L118" s="29" t="str">
        <f>IF(AND($D118="投手",LEFT($F118,3)="YES",OR($C118="MLB",$C118="3A",$C118="2A",$C118="日職一軍",$C118="韓職一軍",$C118="KBO")),COUNT($L$3:L117)+1,"")</f>
        <v/>
      </c>
      <c r="M118" s="29" t="str">
        <f>IF(AND($D118&lt;&gt;"投手",$D118&lt;&gt;"",LEFT($F118,3)="YES",OR($C118="MLB",$C118="3A",$C118="2A",$C118="日職一軍",$C118="韓職一軍",$C118="KBO")),COUNT($M$3:M117)+1,"")</f>
        <v/>
      </c>
      <c r="N118" s="29" t="str">
        <f>IF(AND($D118="投手",$F118="YES",OR($C118="MLB",$C118="一軍",$C118="KBO",$C118="3A",$C118="2A")),COUNT($N$2:N117)+1,"")</f>
        <v/>
      </c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>
      <c r="A119" s="29"/>
      <c r="B119" s="29" t="str">
        <f>IFERROR(INDEX(總表!$B:$B,MATCH($A119,總表!$A:$A,0)),"")</f>
        <v/>
      </c>
      <c r="C119" s="29" t="str">
        <f>IFERROR(INDEX(總表!$G:$G,MATCH($A119,總表!$A:$A,0)),"")</f>
        <v/>
      </c>
      <c r="D119" s="29" t="str">
        <f>IFERROR(INDEX(總表!$C:$C,MATCH($A119,總表!$A:$A,0)),"")</f>
        <v/>
      </c>
      <c r="E119" s="29" t="str">
        <f>IFERROR(INDEX(總表!$F:$F,MATCH($A119,總表!$A:$A,0)),"")</f>
        <v/>
      </c>
      <c r="F119" s="29"/>
      <c r="G119" s="29"/>
      <c r="H119" s="29"/>
      <c r="I119" s="29">
        <f t="shared" si="3"/>
        <v>99</v>
      </c>
      <c r="J119" s="29">
        <f t="shared" si="4"/>
        <v>99</v>
      </c>
      <c r="K119" s="29">
        <f t="shared" si="5"/>
        <v>99</v>
      </c>
      <c r="L119" s="29" t="str">
        <f>IF(AND($D119="投手",LEFT($F119,3)="YES",OR($C119="MLB",$C119="3A",$C119="2A",$C119="日職一軍",$C119="韓職一軍",$C119="KBO")),COUNT($L$3:L118)+1,"")</f>
        <v/>
      </c>
      <c r="M119" s="29" t="str">
        <f>IF(AND($D119&lt;&gt;"投手",$D119&lt;&gt;"",LEFT($F119,3)="YES",OR($C119="MLB",$C119="3A",$C119="2A",$C119="日職一軍",$C119="韓職一軍",$C119="KBO")),COUNT($M$3:M118)+1,"")</f>
        <v/>
      </c>
      <c r="N119" s="29" t="str">
        <f>IF(AND($D119="投手",$F119="YES",OR($C119="MLB",$C119="一軍",$C119="KBO",$C119="3A",$C119="2A")),COUNT($N$2:N118)+1,"")</f>
        <v/>
      </c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>
      <c r="A120" s="29"/>
      <c r="B120" s="29" t="str">
        <f>IFERROR(INDEX(總表!$B:$B,MATCH($A120,總表!$A:$A,0)),"")</f>
        <v/>
      </c>
      <c r="C120" s="29" t="str">
        <f>IFERROR(INDEX(總表!$G:$G,MATCH($A120,總表!$A:$A,0)),"")</f>
        <v/>
      </c>
      <c r="D120" s="29" t="str">
        <f>IFERROR(INDEX(總表!$C:$C,MATCH($A120,總表!$A:$A,0)),"")</f>
        <v/>
      </c>
      <c r="E120" s="29" t="str">
        <f>IFERROR(INDEX(總表!$F:$F,MATCH($A120,總表!$A:$A,0)),"")</f>
        <v/>
      </c>
      <c r="F120" s="29"/>
      <c r="G120" s="29"/>
      <c r="H120" s="29"/>
      <c r="I120" s="29">
        <f t="shared" si="3"/>
        <v>99</v>
      </c>
      <c r="J120" s="29">
        <f t="shared" si="4"/>
        <v>99</v>
      </c>
      <c r="K120" s="29">
        <f t="shared" si="5"/>
        <v>99</v>
      </c>
      <c r="L120" s="29" t="str">
        <f>IF(AND($D120="投手",LEFT($F120,3)="YES",OR($C120="MLB",$C120="3A",$C120="2A",$C120="日職一軍",$C120="韓職一軍",$C120="KBO")),COUNT($L$3:L119)+1,"")</f>
        <v/>
      </c>
      <c r="M120" s="29" t="str">
        <f>IF(AND($D120&lt;&gt;"投手",$D120&lt;&gt;"",LEFT($F120,3)="YES",OR($C120="MLB",$C120="3A",$C120="2A",$C120="日職一軍",$C120="韓職一軍",$C120="KBO")),COUNT($M$3:M119)+1,"")</f>
        <v/>
      </c>
      <c r="N120" s="29" t="str">
        <f>IF(AND($D120="投手",$F120="YES",OR($C120="MLB",$C120="一軍",$C120="KBO",$C120="3A",$C120="2A")),COUNT($N$2:N119)+1,"")</f>
        <v/>
      </c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>
      <c r="A121" s="29"/>
      <c r="B121" s="29" t="str">
        <f>IFERROR(INDEX(總表!$B:$B,MATCH($A121,總表!$A:$A,0)),"")</f>
        <v/>
      </c>
      <c r="C121" s="29" t="str">
        <f>IFERROR(INDEX(總表!$G:$G,MATCH($A121,總表!$A:$A,0)),"")</f>
        <v/>
      </c>
      <c r="D121" s="29" t="str">
        <f>IFERROR(INDEX(總表!$C:$C,MATCH($A121,總表!$A:$A,0)),"")</f>
        <v/>
      </c>
      <c r="E121" s="29" t="str">
        <f>IFERROR(INDEX(總表!$F:$F,MATCH($A121,總表!$A:$A,0)),"")</f>
        <v/>
      </c>
      <c r="F121" s="29"/>
      <c r="G121" s="29"/>
      <c r="H121" s="29"/>
      <c r="I121" s="29">
        <f t="shared" si="3"/>
        <v>99</v>
      </c>
      <c r="J121" s="29">
        <f t="shared" si="4"/>
        <v>99</v>
      </c>
      <c r="K121" s="29">
        <f t="shared" si="5"/>
        <v>99</v>
      </c>
      <c r="L121" s="29" t="str">
        <f>IF(AND($D121="投手",LEFT($F121,3)="YES",OR($C121="MLB",$C121="3A",$C121="2A",$C121="日職一軍",$C121="韓職一軍",$C121="KBO")),COUNT($L$3:L120)+1,"")</f>
        <v/>
      </c>
      <c r="M121" s="29" t="str">
        <f>IF(AND($D121&lt;&gt;"投手",$D121&lt;&gt;"",LEFT($F121,3)="YES",OR($C121="MLB",$C121="3A",$C121="2A",$C121="日職一軍",$C121="韓職一軍",$C121="KBO")),COUNT($M$3:M120)+1,"")</f>
        <v/>
      </c>
      <c r="N121" s="29" t="str">
        <f>IF(AND($D121="投手",$F121="YES",OR($C121="MLB",$C121="一軍",$C121="KBO",$C121="3A",$C121="2A")),COUNT($N$2:N120)+1,"")</f>
        <v/>
      </c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>
      <c r="A122" s="29"/>
      <c r="B122" s="29" t="str">
        <f>IFERROR(INDEX(總表!$B:$B,MATCH($A122,總表!$A:$A,0)),"")</f>
        <v/>
      </c>
      <c r="C122" s="29" t="str">
        <f>IFERROR(INDEX(總表!$G:$G,MATCH($A122,總表!$A:$A,0)),"")</f>
        <v/>
      </c>
      <c r="D122" s="29" t="str">
        <f>IFERROR(INDEX(總表!$C:$C,MATCH($A122,總表!$A:$A,0)),"")</f>
        <v/>
      </c>
      <c r="E122" s="29" t="str">
        <f>IFERROR(INDEX(總表!$F:$F,MATCH($A122,總表!$A:$A,0)),"")</f>
        <v/>
      </c>
      <c r="F122" s="29"/>
      <c r="G122" s="29"/>
      <c r="H122" s="29"/>
      <c r="I122" s="29">
        <f t="shared" si="3"/>
        <v>99</v>
      </c>
      <c r="J122" s="29">
        <f t="shared" si="4"/>
        <v>99</v>
      </c>
      <c r="K122" s="29">
        <f t="shared" si="5"/>
        <v>99</v>
      </c>
      <c r="L122" s="29" t="str">
        <f>IF(AND($D122="投手",LEFT($F122,3)="YES",OR($C122="MLB",$C122="3A",$C122="2A",$C122="日職一軍",$C122="韓職一軍",$C122="KBO")),COUNT($L$3:L121)+1,"")</f>
        <v/>
      </c>
      <c r="M122" s="29" t="str">
        <f>IF(AND($D122&lt;&gt;"投手",$D122&lt;&gt;"",LEFT($F122,3)="YES",OR($C122="MLB",$C122="3A",$C122="2A",$C122="日職一軍",$C122="韓職一軍",$C122="KBO")),COUNT($M$3:M121)+1,"")</f>
        <v/>
      </c>
      <c r="N122" s="29" t="str">
        <f>IF(AND($D122="投手",$F122="YES",OR($C122="MLB",$C122="一軍",$C122="KBO",$C122="3A",$C122="2A")),COUNT($N$2:N121)+1,"")</f>
        <v/>
      </c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>
      <c r="A123" s="29"/>
      <c r="B123" s="29" t="str">
        <f>IFERROR(INDEX(總表!$B:$B,MATCH($A123,總表!$A:$A,0)),"")</f>
        <v/>
      </c>
      <c r="C123" s="29" t="str">
        <f>IFERROR(INDEX(總表!$G:$G,MATCH($A123,總表!$A:$A,0)),"")</f>
        <v/>
      </c>
      <c r="D123" s="29" t="str">
        <f>IFERROR(INDEX(總表!$C:$C,MATCH($A123,總表!$A:$A,0)),"")</f>
        <v/>
      </c>
      <c r="E123" s="29" t="str">
        <f>IFERROR(INDEX(總表!$F:$F,MATCH($A123,總表!$A:$A,0)),"")</f>
        <v/>
      </c>
      <c r="F123" s="29"/>
      <c r="G123" s="29"/>
      <c r="H123" s="29"/>
      <c r="I123" s="29">
        <f t="shared" si="3"/>
        <v>99</v>
      </c>
      <c r="J123" s="29">
        <f t="shared" si="4"/>
        <v>99</v>
      </c>
      <c r="K123" s="29">
        <f t="shared" si="5"/>
        <v>99</v>
      </c>
      <c r="L123" s="29" t="str">
        <f>IF(AND($D123="投手",LEFT($F123,3)="YES",OR($C123="MLB",$C123="3A",$C123="2A",$C123="日職一軍",$C123="韓職一軍",$C123="KBO")),COUNT($L$3:L122)+1,"")</f>
        <v/>
      </c>
      <c r="M123" s="29" t="str">
        <f>IF(AND($D123&lt;&gt;"投手",$D123&lt;&gt;"",LEFT($F123,3)="YES",OR($C123="MLB",$C123="3A",$C123="2A",$C123="日職一軍",$C123="韓職一軍",$C123="KBO")),COUNT($M$3:M122)+1,"")</f>
        <v/>
      </c>
      <c r="N123" s="29" t="str">
        <f>IF(AND($D123="投手",$F123="YES",OR($C123="MLB",$C123="一軍",$C123="KBO",$C123="3A",$C123="2A")),COUNT($N$2:N122)+1,"")</f>
        <v/>
      </c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>
      <c r="A124" s="29"/>
      <c r="B124" s="29" t="str">
        <f>IFERROR(INDEX(總表!$B:$B,MATCH($A124,總表!$A:$A,0)),"")</f>
        <v/>
      </c>
      <c r="C124" s="29" t="str">
        <f>IFERROR(INDEX(總表!$G:$G,MATCH($A124,總表!$A:$A,0)),"")</f>
        <v/>
      </c>
      <c r="D124" s="29" t="str">
        <f>IFERROR(INDEX(總表!$C:$C,MATCH($A124,總表!$A:$A,0)),"")</f>
        <v/>
      </c>
      <c r="E124" s="29" t="str">
        <f>IFERROR(INDEX(總表!$F:$F,MATCH($A124,總表!$A:$A,0)),"")</f>
        <v/>
      </c>
      <c r="F124" s="29"/>
      <c r="G124" s="29"/>
      <c r="H124" s="29"/>
      <c r="I124" s="29">
        <f t="shared" si="3"/>
        <v>99</v>
      </c>
      <c r="J124" s="29">
        <f t="shared" si="4"/>
        <v>99</v>
      </c>
      <c r="K124" s="29">
        <f t="shared" si="5"/>
        <v>99</v>
      </c>
      <c r="L124" s="29" t="str">
        <f>IF(AND($D124="投手",LEFT($F124,3)="YES",OR($C124="MLB",$C124="3A",$C124="2A",$C124="日職一軍",$C124="韓職一軍",$C124="KBO")),COUNT($L$3:L123)+1,"")</f>
        <v/>
      </c>
      <c r="M124" s="29" t="str">
        <f>IF(AND($D124&lt;&gt;"投手",$D124&lt;&gt;"",LEFT($F124,3)="YES",OR($C124="MLB",$C124="3A",$C124="2A",$C124="日職一軍",$C124="韓職一軍",$C124="KBO")),COUNT($M$3:M123)+1,"")</f>
        <v/>
      </c>
      <c r="N124" s="29" t="str">
        <f>IF(AND($D124="投手",$F124="YES",OR($C124="MLB",$C124="一軍",$C124="KBO",$C124="3A",$C124="2A")),COUNT($N$2:N123)+1,"")</f>
        <v/>
      </c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>
      <c r="A125" s="29"/>
      <c r="B125" s="29" t="str">
        <f>IFERROR(INDEX(總表!$B:$B,MATCH($A125,總表!$A:$A,0)),"")</f>
        <v/>
      </c>
      <c r="C125" s="29" t="str">
        <f>IFERROR(INDEX(總表!$G:$G,MATCH($A125,總表!$A:$A,0)),"")</f>
        <v/>
      </c>
      <c r="D125" s="29" t="str">
        <f>IFERROR(INDEX(總表!$C:$C,MATCH($A125,總表!$A:$A,0)),"")</f>
        <v/>
      </c>
      <c r="E125" s="29" t="str">
        <f>IFERROR(INDEX(總表!$F:$F,MATCH($A125,總表!$A:$A,0)),"")</f>
        <v/>
      </c>
      <c r="F125" s="29"/>
      <c r="G125" s="29"/>
      <c r="H125" s="29"/>
      <c r="I125" s="29">
        <f t="shared" si="3"/>
        <v>99</v>
      </c>
      <c r="J125" s="29">
        <f t="shared" si="4"/>
        <v>99</v>
      </c>
      <c r="K125" s="29">
        <f t="shared" si="5"/>
        <v>99</v>
      </c>
      <c r="L125" s="29" t="str">
        <f>IF(AND($D125="投手",LEFT($F125,3)="YES",OR($C125="MLB",$C125="3A",$C125="2A",$C125="日職一軍",$C125="韓職一軍",$C125="KBO")),COUNT($L$3:L124)+1,"")</f>
        <v/>
      </c>
      <c r="M125" s="29" t="str">
        <f>IF(AND($D125&lt;&gt;"投手",$D125&lt;&gt;"",LEFT($F125,3)="YES",OR($C125="MLB",$C125="3A",$C125="2A",$C125="日職一軍",$C125="韓職一軍",$C125="KBO")),COUNT($M$3:M124)+1,"")</f>
        <v/>
      </c>
      <c r="N125" s="29" t="str">
        <f>IF(AND($D125="投手",$F125="YES",OR($C125="MLB",$C125="一軍",$C125="KBO",$C125="3A",$C125="2A")),COUNT($N$2:N124)+1,"")</f>
        <v/>
      </c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>
      <c r="A126" s="29"/>
      <c r="B126" s="29" t="str">
        <f>IFERROR(INDEX(總表!$B:$B,MATCH($A126,總表!$A:$A,0)),"")</f>
        <v/>
      </c>
      <c r="C126" s="29" t="str">
        <f>IFERROR(INDEX(總表!$G:$G,MATCH($A126,總表!$A:$A,0)),"")</f>
        <v/>
      </c>
      <c r="D126" s="29" t="str">
        <f>IFERROR(INDEX(總表!$C:$C,MATCH($A126,總表!$A:$A,0)),"")</f>
        <v/>
      </c>
      <c r="E126" s="29" t="str">
        <f>IFERROR(INDEX(總表!$F:$F,MATCH($A126,總表!$A:$A,0)),"")</f>
        <v/>
      </c>
      <c r="F126" s="29"/>
      <c r="G126" s="29"/>
      <c r="H126" s="29"/>
      <c r="I126" s="29">
        <f t="shared" si="3"/>
        <v>99</v>
      </c>
      <c r="J126" s="29">
        <f t="shared" si="4"/>
        <v>99</v>
      </c>
      <c r="K126" s="29">
        <f t="shared" si="5"/>
        <v>99</v>
      </c>
      <c r="L126" s="29" t="str">
        <f>IF(AND($D126="投手",LEFT($F126,3)="YES",OR($C126="MLB",$C126="3A",$C126="2A",$C126="日職一軍",$C126="韓職一軍",$C126="KBO")),COUNT($L$3:L125)+1,"")</f>
        <v/>
      </c>
      <c r="M126" s="29" t="str">
        <f>IF(AND($D126&lt;&gt;"投手",$D126&lt;&gt;"",LEFT($F126,3)="YES",OR($C126="MLB",$C126="3A",$C126="2A",$C126="日職一軍",$C126="韓職一軍",$C126="KBO")),COUNT($M$3:M125)+1,"")</f>
        <v/>
      </c>
      <c r="N126" s="29" t="str">
        <f>IF(AND($D126="投手",$F126="YES",OR($C126="MLB",$C126="一軍",$C126="KBO",$C126="3A",$C126="2A")),COUNT($N$2:N125)+1,"")</f>
        <v/>
      </c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>
      <c r="A127" s="29"/>
      <c r="B127" s="29" t="str">
        <f>IFERROR(INDEX(總表!$B:$B,MATCH($A127,總表!$A:$A,0)),"")</f>
        <v/>
      </c>
      <c r="C127" s="29" t="str">
        <f>IFERROR(INDEX(總表!$G:$G,MATCH($A127,總表!$A:$A,0)),"")</f>
        <v/>
      </c>
      <c r="D127" s="29" t="str">
        <f>IFERROR(INDEX(總表!$C:$C,MATCH($A127,總表!$A:$A,0)),"")</f>
        <v/>
      </c>
      <c r="E127" s="29" t="str">
        <f>IFERROR(INDEX(總表!$F:$F,MATCH($A127,總表!$A:$A,0)),"")</f>
        <v/>
      </c>
      <c r="F127" s="29"/>
      <c r="G127" s="29"/>
      <c r="H127" s="29"/>
      <c r="I127" s="29">
        <f t="shared" si="3"/>
        <v>99</v>
      </c>
      <c r="J127" s="29">
        <f t="shared" si="4"/>
        <v>99</v>
      </c>
      <c r="K127" s="29">
        <f t="shared" si="5"/>
        <v>99</v>
      </c>
      <c r="L127" s="29" t="str">
        <f>IF(AND($D127="投手",LEFT($F127,3)="YES",OR($C127="MLB",$C127="3A",$C127="2A",$C127="日職一軍",$C127="韓職一軍",$C127="KBO")),COUNT($L$3:L126)+1,"")</f>
        <v/>
      </c>
      <c r="M127" s="29" t="str">
        <f>IF(AND($D127&lt;&gt;"投手",$D127&lt;&gt;"",LEFT($F127,3)="YES",OR($C127="MLB",$C127="3A",$C127="2A",$C127="日職一軍",$C127="韓職一軍",$C127="KBO")),COUNT($M$3:M126)+1,"")</f>
        <v/>
      </c>
      <c r="N127" s="29" t="str">
        <f>IF(AND($D127="投手",$F127="YES",OR($C127="MLB",$C127="一軍",$C127="KBO",$C127="3A",$C127="2A")),COUNT($N$2:N126)+1,"")</f>
        <v/>
      </c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>
      <c r="A128" s="29"/>
      <c r="B128" s="29" t="str">
        <f>IFERROR(INDEX(總表!$B:$B,MATCH($A128,總表!$A:$A,0)),"")</f>
        <v/>
      </c>
      <c r="C128" s="29" t="str">
        <f>IFERROR(INDEX(總表!$G:$G,MATCH($A128,總表!$A:$A,0)),"")</f>
        <v/>
      </c>
      <c r="D128" s="29" t="str">
        <f>IFERROR(INDEX(總表!$C:$C,MATCH($A128,總表!$A:$A,0)),"")</f>
        <v/>
      </c>
      <c r="E128" s="29" t="str">
        <f>IFERROR(INDEX(總表!$F:$F,MATCH($A128,總表!$A:$A,0)),"")</f>
        <v/>
      </c>
      <c r="F128" s="29"/>
      <c r="G128" s="29"/>
      <c r="H128" s="29"/>
      <c r="I128" s="29">
        <f t="shared" si="3"/>
        <v>99</v>
      </c>
      <c r="J128" s="29">
        <f t="shared" si="4"/>
        <v>99</v>
      </c>
      <c r="K128" s="29">
        <f t="shared" si="5"/>
        <v>99</v>
      </c>
      <c r="L128" s="29" t="str">
        <f>IF(AND($D128="投手",LEFT($F128,3)="YES",OR($C128="MLB",$C128="3A",$C128="2A",$C128="日職一軍",$C128="韓職一軍",$C128="KBO")),COUNT($L$3:L127)+1,"")</f>
        <v/>
      </c>
      <c r="M128" s="29" t="str">
        <f>IF(AND($D128&lt;&gt;"投手",$D128&lt;&gt;"",LEFT($F128,3)="YES",OR($C128="MLB",$C128="3A",$C128="2A",$C128="日職一軍",$C128="韓職一軍",$C128="KBO")),COUNT($M$3:M127)+1,"")</f>
        <v/>
      </c>
      <c r="N128" s="29" t="str">
        <f>IF(AND($D128="投手",$F128="YES",OR($C128="MLB",$C128="一軍",$C128="KBO",$C128="3A",$C128="2A")),COUNT($N$2:N127)+1,"")</f>
        <v/>
      </c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>
      <c r="A129" s="29"/>
      <c r="B129" s="29" t="str">
        <f>IFERROR(INDEX(總表!$B:$B,MATCH($A129,總表!$A:$A,0)),"")</f>
        <v/>
      </c>
      <c r="C129" s="29" t="str">
        <f>IFERROR(INDEX(總表!$G:$G,MATCH($A129,總表!$A:$A,0)),"")</f>
        <v/>
      </c>
      <c r="D129" s="29" t="str">
        <f>IFERROR(INDEX(總表!$C:$C,MATCH($A129,總表!$A:$A,0)),"")</f>
        <v/>
      </c>
      <c r="E129" s="29" t="str">
        <f>IFERROR(INDEX(總表!$F:$F,MATCH($A129,總表!$A:$A,0)),"")</f>
        <v/>
      </c>
      <c r="F129" s="29"/>
      <c r="G129" s="29"/>
      <c r="H129" s="29"/>
      <c r="I129" s="29">
        <f t="shared" si="3"/>
        <v>99</v>
      </c>
      <c r="J129" s="29">
        <f t="shared" si="4"/>
        <v>99</v>
      </c>
      <c r="K129" s="29">
        <f t="shared" si="5"/>
        <v>99</v>
      </c>
      <c r="L129" s="29" t="str">
        <f>IF(AND($D129="投手",LEFT($F129,3)="YES",OR($C129="MLB",$C129="3A",$C129="2A",$C129="日職一軍",$C129="韓職一軍",$C129="KBO")),COUNT($L$3:L128)+1,"")</f>
        <v/>
      </c>
      <c r="M129" s="29" t="str">
        <f>IF(AND($D129&lt;&gt;"投手",$D129&lt;&gt;"",LEFT($F129,3)="YES",OR($C129="MLB",$C129="3A",$C129="2A",$C129="日職一軍",$C129="韓職一軍",$C129="KBO")),COUNT($M$3:M128)+1,"")</f>
        <v/>
      </c>
      <c r="N129" s="29" t="str">
        <f>IF(AND($D129="投手",$F129="YES",OR($C129="MLB",$C129="一軍",$C129="KBO",$C129="3A",$C129="2A")),COUNT($N$2:N128)+1,"")</f>
        <v/>
      </c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>
      <c r="A130" s="29"/>
      <c r="B130" s="29" t="str">
        <f>IFERROR(INDEX(總表!$B:$B,MATCH($A130,總表!$A:$A,0)),"")</f>
        <v/>
      </c>
      <c r="C130" s="29" t="str">
        <f>IFERROR(INDEX(總表!$G:$G,MATCH($A130,總表!$A:$A,0)),"")</f>
        <v/>
      </c>
      <c r="D130" s="29" t="str">
        <f>IFERROR(INDEX(總表!$C:$C,MATCH($A130,總表!$A:$A,0)),"")</f>
        <v/>
      </c>
      <c r="E130" s="29" t="str">
        <f>IFERROR(INDEX(總表!$F:$F,MATCH($A130,總表!$A:$A,0)),"")</f>
        <v/>
      </c>
      <c r="F130" s="29"/>
      <c r="G130" s="29"/>
      <c r="H130" s="29"/>
      <c r="I130" s="29">
        <f t="shared" si="3"/>
        <v>99</v>
      </c>
      <c r="J130" s="29">
        <f t="shared" si="4"/>
        <v>99</v>
      </c>
      <c r="K130" s="29">
        <f t="shared" si="5"/>
        <v>99</v>
      </c>
      <c r="L130" s="29" t="str">
        <f>IF(AND($D130="投手",LEFT($F130,3)="YES",OR($C130="MLB",$C130="3A",$C130="2A",$C130="日職一軍",$C130="韓職一軍",$C130="KBO")),COUNT($L$3:L129)+1,"")</f>
        <v/>
      </c>
      <c r="M130" s="29" t="str">
        <f>IF(AND($D130&lt;&gt;"投手",$D130&lt;&gt;"",LEFT($F130,3)="YES",OR($C130="MLB",$C130="3A",$C130="2A",$C130="日職一軍",$C130="韓職一軍",$C130="KBO")),COUNT($M$3:M129)+1,"")</f>
        <v/>
      </c>
      <c r="N130" s="29" t="str">
        <f>IF(AND($D130="投手",$F130="YES",OR($C130="MLB",$C130="一軍",$C130="KBO",$C130="3A",$C130="2A")),COUNT($N$2:N129)+1,"")</f>
        <v/>
      </c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>
      <c r="A131" s="29"/>
      <c r="B131" s="29" t="str">
        <f>IFERROR(INDEX(總表!$B:$B,MATCH($A131,總表!$A:$A,0)),"")</f>
        <v/>
      </c>
      <c r="C131" s="29" t="str">
        <f>IFERROR(INDEX(總表!$G:$G,MATCH($A131,總表!$A:$A,0)),"")</f>
        <v/>
      </c>
      <c r="D131" s="29" t="str">
        <f>IFERROR(INDEX(總表!$C:$C,MATCH($A131,總表!$A:$A,0)),"")</f>
        <v/>
      </c>
      <c r="E131" s="29" t="str">
        <f>IFERROR(INDEX(總表!$F:$F,MATCH($A131,總表!$A:$A,0)),"")</f>
        <v/>
      </c>
      <c r="F131" s="29"/>
      <c r="G131" s="29"/>
      <c r="H131" s="29"/>
      <c r="I131" s="29">
        <f t="shared" ref="I131:I194" si="6">IF($A131="投手",1,IF($D131="投手",2,IF($A131="野手",3,IF(OR($D131="野手",$D131="內野手",$D131="外野手",$D131="捕手"),4,99))))</f>
        <v>99</v>
      </c>
      <c r="J131" s="29">
        <f t="shared" si="4"/>
        <v>99</v>
      </c>
      <c r="K131" s="29">
        <f t="shared" si="5"/>
        <v>99</v>
      </c>
      <c r="L131" s="29" t="str">
        <f>IF(AND($D131="投手",LEFT($F131,3)="YES",OR($C131="MLB",$C131="3A",$C131="2A",$C131="日職一軍",$C131="韓職一軍",$C131="KBO")),COUNT($L$3:L130)+1,"")</f>
        <v/>
      </c>
      <c r="M131" s="29" t="str">
        <f>IF(AND($D131&lt;&gt;"投手",$D131&lt;&gt;"",LEFT($F131,3)="YES",OR($C131="MLB",$C131="3A",$C131="2A",$C131="日職一軍",$C131="韓職一軍",$C131="KBO")),COUNT($M$3:M130)+1,"")</f>
        <v/>
      </c>
      <c r="N131" s="29" t="str">
        <f>IF(AND($D131="投手",$F131="YES",OR($C131="MLB",$C131="一軍",$C131="KBO",$C131="3A",$C131="2A")),COUNT($N$2:N130)+1,"")</f>
        <v/>
      </c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>
      <c r="A132" s="29"/>
      <c r="B132" s="29" t="str">
        <f>IFERROR(INDEX(總表!$B:$B,MATCH($A132,總表!$A:$A,0)),"")</f>
        <v/>
      </c>
      <c r="C132" s="29" t="str">
        <f>IFERROR(INDEX(總表!$G:$G,MATCH($A132,總表!$A:$A,0)),"")</f>
        <v/>
      </c>
      <c r="D132" s="29" t="str">
        <f>IFERROR(INDEX(總表!$C:$C,MATCH($A132,總表!$A:$A,0)),"")</f>
        <v/>
      </c>
      <c r="E132" s="29" t="str">
        <f>IFERROR(INDEX(總表!$F:$F,MATCH($A132,總表!$A:$A,0)),"")</f>
        <v/>
      </c>
      <c r="F132" s="29"/>
      <c r="G132" s="29"/>
      <c r="H132" s="29"/>
      <c r="I132" s="29">
        <f t="shared" si="6"/>
        <v>99</v>
      </c>
      <c r="J132" s="29">
        <f t="shared" si="4"/>
        <v>99</v>
      </c>
      <c r="K132" s="29">
        <f t="shared" si="5"/>
        <v>99</v>
      </c>
      <c r="L132" s="29" t="str">
        <f>IF(AND($D132="投手",LEFT($F132,3)="YES",OR($C132="MLB",$C132="3A",$C132="2A",$C132="日職一軍",$C132="韓職一軍",$C132="KBO")),COUNT($L$3:L131)+1,"")</f>
        <v/>
      </c>
      <c r="M132" s="29" t="str">
        <f>IF(AND($D132&lt;&gt;"投手",$D132&lt;&gt;"",LEFT($F132,3)="YES",OR($C132="MLB",$C132="3A",$C132="2A",$C132="日職一軍",$C132="韓職一軍",$C132="KBO")),COUNT($M$3:M131)+1,"")</f>
        <v/>
      </c>
      <c r="N132" s="29" t="str">
        <f>IF(AND($D132="投手",$F132="YES",OR($C132="MLB",$C132="一軍",$C132="KBO",$C132="3A",$C132="2A")),COUNT($N$2:N131)+1,"")</f>
        <v/>
      </c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>
      <c r="A133" s="29"/>
      <c r="B133" s="29" t="str">
        <f>IFERROR(INDEX(總表!$B:$B,MATCH($A133,總表!$A:$A,0)),"")</f>
        <v/>
      </c>
      <c r="C133" s="29" t="str">
        <f>IFERROR(INDEX(總表!$G:$G,MATCH($A133,總表!$A:$A,0)),"")</f>
        <v/>
      </c>
      <c r="D133" s="29" t="str">
        <f>IFERROR(INDEX(總表!$C:$C,MATCH($A133,總表!$A:$A,0)),"")</f>
        <v/>
      </c>
      <c r="E133" s="29" t="str">
        <f>IFERROR(INDEX(總表!$F:$F,MATCH($A133,總表!$A:$A,0)),"")</f>
        <v/>
      </c>
      <c r="F133" s="29"/>
      <c r="G133" s="29"/>
      <c r="H133" s="29"/>
      <c r="I133" s="29">
        <f t="shared" si="6"/>
        <v>99</v>
      </c>
      <c r="J133" s="29">
        <f t="shared" si="4"/>
        <v>99</v>
      </c>
      <c r="K133" s="29">
        <f t="shared" si="5"/>
        <v>99</v>
      </c>
      <c r="L133" s="29" t="str">
        <f>IF(AND($D133="投手",LEFT($F133,3)="YES",OR($C133="MLB",$C133="3A",$C133="2A",$C133="日職一軍",$C133="韓職一軍",$C133="KBO")),COUNT($L$3:L132)+1,"")</f>
        <v/>
      </c>
      <c r="M133" s="29" t="str">
        <f>IF(AND($D133&lt;&gt;"投手",$D133&lt;&gt;"",LEFT($F133,3)="YES",OR($C133="MLB",$C133="3A",$C133="2A",$C133="日職一軍",$C133="韓職一軍",$C133="KBO")),COUNT($M$3:M132)+1,"")</f>
        <v/>
      </c>
      <c r="N133" s="29" t="str">
        <f>IF(AND($D133="投手",$F133="YES",OR($C133="MLB",$C133="一軍",$C133="KBO",$C133="3A",$C133="2A")),COUNT($N$2:N132)+1,"")</f>
        <v/>
      </c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>
      <c r="A134" s="29"/>
      <c r="B134" s="29" t="str">
        <f>IFERROR(INDEX(總表!$B:$B,MATCH($A134,總表!$A:$A,0)),"")</f>
        <v/>
      </c>
      <c r="C134" s="29" t="str">
        <f>IFERROR(INDEX(總表!$G:$G,MATCH($A134,總表!$A:$A,0)),"")</f>
        <v/>
      </c>
      <c r="D134" s="29" t="str">
        <f>IFERROR(INDEX(總表!$C:$C,MATCH($A134,總表!$A:$A,0)),"")</f>
        <v/>
      </c>
      <c r="E134" s="29" t="str">
        <f>IFERROR(INDEX(總表!$F:$F,MATCH($A134,總表!$A:$A,0)),"")</f>
        <v/>
      </c>
      <c r="F134" s="29"/>
      <c r="G134" s="29"/>
      <c r="H134" s="29"/>
      <c r="I134" s="29">
        <f t="shared" si="6"/>
        <v>99</v>
      </c>
      <c r="J134" s="29">
        <f t="shared" si="4"/>
        <v>99</v>
      </c>
      <c r="K134" s="29">
        <f t="shared" si="5"/>
        <v>99</v>
      </c>
      <c r="L134" s="29" t="str">
        <f>IF(AND($D134="投手",LEFT($F134,3)="YES",OR($C134="MLB",$C134="3A",$C134="2A",$C134="日職一軍",$C134="韓職一軍",$C134="KBO")),COUNT($L$3:L133)+1,"")</f>
        <v/>
      </c>
      <c r="M134" s="29" t="str">
        <f>IF(AND($D134&lt;&gt;"投手",$D134&lt;&gt;"",LEFT($F134,3)="YES",OR($C134="MLB",$C134="3A",$C134="2A",$C134="日職一軍",$C134="韓職一軍",$C134="KBO")),COUNT($M$3:M133)+1,"")</f>
        <v/>
      </c>
      <c r="N134" s="29" t="str">
        <f>IF(AND($D134="投手",$F134="YES",OR($C134="MLB",$C134="一軍",$C134="KBO",$C134="3A",$C134="2A")),COUNT($N$2:N133)+1,"")</f>
        <v/>
      </c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>
      <c r="A135" s="29"/>
      <c r="B135" s="29" t="str">
        <f>IFERROR(INDEX(總表!$B:$B,MATCH($A135,總表!$A:$A,0)),"")</f>
        <v/>
      </c>
      <c r="C135" s="29" t="str">
        <f>IFERROR(INDEX(總表!$G:$G,MATCH($A135,總表!$A:$A,0)),"")</f>
        <v/>
      </c>
      <c r="D135" s="29" t="str">
        <f>IFERROR(INDEX(總表!$C:$C,MATCH($A135,總表!$A:$A,0)),"")</f>
        <v/>
      </c>
      <c r="E135" s="29" t="str">
        <f>IFERROR(INDEX(總表!$F:$F,MATCH($A135,總表!$A:$A,0)),"")</f>
        <v/>
      </c>
      <c r="F135" s="29"/>
      <c r="G135" s="29"/>
      <c r="H135" s="29"/>
      <c r="I135" s="29">
        <f t="shared" si="6"/>
        <v>99</v>
      </c>
      <c r="J135" s="29">
        <f t="shared" si="4"/>
        <v>99</v>
      </c>
      <c r="K135" s="29">
        <f t="shared" si="5"/>
        <v>99</v>
      </c>
      <c r="L135" s="29" t="str">
        <f>IF(AND($D135="投手",LEFT($F135,3)="YES",OR($C135="MLB",$C135="3A",$C135="2A",$C135="日職一軍",$C135="韓職一軍",$C135="KBO")),COUNT($L$3:L134)+1,"")</f>
        <v/>
      </c>
      <c r="M135" s="29" t="str">
        <f>IF(AND($D135&lt;&gt;"投手",$D135&lt;&gt;"",LEFT($F135,3)="YES",OR($C135="MLB",$C135="3A",$C135="2A",$C135="日職一軍",$C135="韓職一軍",$C135="KBO")),COUNT($M$3:M134)+1,"")</f>
        <v/>
      </c>
      <c r="N135" s="29" t="str">
        <f>IF(AND($D135="投手",$F135="YES",OR($C135="MLB",$C135="一軍",$C135="KBO",$C135="3A",$C135="2A")),COUNT($N$2:N134)+1,"")</f>
        <v/>
      </c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>
      <c r="A136" s="29"/>
      <c r="B136" s="29" t="str">
        <f>IFERROR(INDEX(總表!$B:$B,MATCH($A136,總表!$A:$A,0)),"")</f>
        <v/>
      </c>
      <c r="C136" s="29" t="str">
        <f>IFERROR(INDEX(總表!$G:$G,MATCH($A136,總表!$A:$A,0)),"")</f>
        <v/>
      </c>
      <c r="D136" s="29" t="str">
        <f>IFERROR(INDEX(總表!$C:$C,MATCH($A136,總表!$A:$A,0)),"")</f>
        <v/>
      </c>
      <c r="E136" s="29" t="str">
        <f>IFERROR(INDEX(總表!$F:$F,MATCH($A136,總表!$A:$A,0)),"")</f>
        <v/>
      </c>
      <c r="F136" s="29"/>
      <c r="G136" s="29"/>
      <c r="H136" s="29"/>
      <c r="I136" s="29">
        <f t="shared" si="6"/>
        <v>99</v>
      </c>
      <c r="J136" s="29">
        <f t="shared" si="4"/>
        <v>99</v>
      </c>
      <c r="K136" s="29">
        <f t="shared" si="5"/>
        <v>99</v>
      </c>
      <c r="L136" s="29" t="str">
        <f>IF(AND($D136="投手",LEFT($F136,3)="YES",OR($C136="MLB",$C136="3A",$C136="2A",$C136="日職一軍",$C136="韓職一軍",$C136="KBO")),COUNT($L$3:L135)+1,"")</f>
        <v/>
      </c>
      <c r="M136" s="29" t="str">
        <f>IF(AND($D136&lt;&gt;"投手",$D136&lt;&gt;"",LEFT($F136,3)="YES",OR($C136="MLB",$C136="3A",$C136="2A",$C136="日職一軍",$C136="韓職一軍",$C136="KBO")),COUNT($M$3:M135)+1,"")</f>
        <v/>
      </c>
      <c r="N136" s="29" t="str">
        <f>IF(AND($D136="投手",$F136="YES",OR($C136="MLB",$C136="一軍",$C136="KBO",$C136="3A",$C136="2A")),COUNT($N$2:N135)+1,"")</f>
        <v/>
      </c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>
      <c r="A137" s="29"/>
      <c r="B137" s="29" t="str">
        <f>IFERROR(INDEX(總表!$B:$B,MATCH($A137,總表!$A:$A,0)),"")</f>
        <v/>
      </c>
      <c r="C137" s="29" t="str">
        <f>IFERROR(INDEX(總表!$G:$G,MATCH($A137,總表!$A:$A,0)),"")</f>
        <v/>
      </c>
      <c r="D137" s="29" t="str">
        <f>IFERROR(INDEX(總表!$C:$C,MATCH($A137,總表!$A:$A,0)),"")</f>
        <v/>
      </c>
      <c r="E137" s="29" t="str">
        <f>IFERROR(INDEX(總表!$F:$F,MATCH($A137,總表!$A:$A,0)),"")</f>
        <v/>
      </c>
      <c r="F137" s="29"/>
      <c r="G137" s="29"/>
      <c r="H137" s="29"/>
      <c r="I137" s="29">
        <f t="shared" si="6"/>
        <v>99</v>
      </c>
      <c r="J137" s="29">
        <f t="shared" si="4"/>
        <v>99</v>
      </c>
      <c r="K137" s="29">
        <f t="shared" si="5"/>
        <v>99</v>
      </c>
      <c r="L137" s="29" t="str">
        <f>IF(AND($D137="投手",LEFT($F137,3)="YES",OR($C137="MLB",$C137="3A",$C137="2A",$C137="日職一軍",$C137="韓職一軍",$C137="KBO")),COUNT($L$3:L136)+1,"")</f>
        <v/>
      </c>
      <c r="M137" s="29" t="str">
        <f>IF(AND($D137&lt;&gt;"投手",$D137&lt;&gt;"",LEFT($F137,3)="YES",OR($C137="MLB",$C137="3A",$C137="2A",$C137="日職一軍",$C137="韓職一軍",$C137="KBO")),COUNT($M$3:M136)+1,"")</f>
        <v/>
      </c>
      <c r="N137" s="29" t="str">
        <f>IF(AND($D137="投手",$F137="YES",OR($C137="MLB",$C137="一軍",$C137="KBO",$C137="3A",$C137="2A")),COUNT($N$2:N136)+1,"")</f>
        <v/>
      </c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>
      <c r="A138" s="29"/>
      <c r="B138" s="29" t="str">
        <f>IFERROR(INDEX(總表!$B:$B,MATCH($A138,總表!$A:$A,0)),"")</f>
        <v/>
      </c>
      <c r="C138" s="29" t="str">
        <f>IFERROR(INDEX(總表!$G:$G,MATCH($A138,總表!$A:$A,0)),"")</f>
        <v/>
      </c>
      <c r="D138" s="29" t="str">
        <f>IFERROR(INDEX(總表!$C:$C,MATCH($A138,總表!$A:$A,0)),"")</f>
        <v/>
      </c>
      <c r="E138" s="29" t="str">
        <f>IFERROR(INDEX(總表!$F:$F,MATCH($A138,總表!$A:$A,0)),"")</f>
        <v/>
      </c>
      <c r="F138" s="29"/>
      <c r="G138" s="29"/>
      <c r="H138" s="29"/>
      <c r="I138" s="29">
        <f t="shared" si="6"/>
        <v>99</v>
      </c>
      <c r="J138" s="29">
        <f t="shared" si="4"/>
        <v>99</v>
      </c>
      <c r="K138" s="29">
        <f t="shared" si="5"/>
        <v>99</v>
      </c>
      <c r="L138" s="29" t="str">
        <f>IF(AND($D138="投手",LEFT($F138,3)="YES",OR($C138="MLB",$C138="3A",$C138="2A",$C138="日職一軍",$C138="韓職一軍",$C138="KBO")),COUNT($L$3:L137)+1,"")</f>
        <v/>
      </c>
      <c r="M138" s="29" t="str">
        <f>IF(AND($D138&lt;&gt;"投手",$D138&lt;&gt;"",LEFT($F138,3)="YES",OR($C138="MLB",$C138="3A",$C138="2A",$C138="日職一軍",$C138="韓職一軍",$C138="KBO")),COUNT($M$3:M137)+1,"")</f>
        <v/>
      </c>
      <c r="N138" s="29" t="str">
        <f>IF(AND($D138="投手",$F138="YES",OR($C138="MLB",$C138="一軍",$C138="KBO",$C138="3A",$C138="2A")),COUNT($N$2:N137)+1,"")</f>
        <v/>
      </c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>
      <c r="A139" s="29"/>
      <c r="B139" s="29" t="str">
        <f>IFERROR(INDEX(總表!$B:$B,MATCH($A139,總表!$A:$A,0)),"")</f>
        <v/>
      </c>
      <c r="C139" s="29" t="str">
        <f>IFERROR(INDEX(總表!$G:$G,MATCH($A139,總表!$A:$A,0)),"")</f>
        <v/>
      </c>
      <c r="D139" s="29" t="str">
        <f>IFERROR(INDEX(總表!$C:$C,MATCH($A139,總表!$A:$A,0)),"")</f>
        <v/>
      </c>
      <c r="E139" s="29" t="str">
        <f>IFERROR(INDEX(總表!$F:$F,MATCH($A139,總表!$A:$A,0)),"")</f>
        <v/>
      </c>
      <c r="F139" s="29"/>
      <c r="G139" s="29"/>
      <c r="H139" s="29"/>
      <c r="I139" s="29">
        <f t="shared" si="6"/>
        <v>99</v>
      </c>
      <c r="J139" s="29">
        <f t="shared" si="4"/>
        <v>99</v>
      </c>
      <c r="K139" s="29">
        <f t="shared" si="5"/>
        <v>99</v>
      </c>
      <c r="L139" s="29" t="str">
        <f>IF(AND($D139="投手",LEFT($F139,3)="YES",OR($C139="MLB",$C139="3A",$C139="2A",$C139="日職一軍",$C139="韓職一軍",$C139="KBO")),COUNT($L$3:L138)+1,"")</f>
        <v/>
      </c>
      <c r="M139" s="29" t="str">
        <f>IF(AND($D139&lt;&gt;"投手",$D139&lt;&gt;"",LEFT($F139,3)="YES",OR($C139="MLB",$C139="3A",$C139="2A",$C139="日職一軍",$C139="韓職一軍",$C139="KBO")),COUNT($M$3:M138)+1,"")</f>
        <v/>
      </c>
      <c r="N139" s="29" t="str">
        <f>IF(AND($D139="投手",$F139="YES",OR($C139="MLB",$C139="一軍",$C139="KBO",$C139="3A",$C139="2A")),COUNT($N$2:N138)+1,"")</f>
        <v/>
      </c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>
      <c r="A140" s="29"/>
      <c r="B140" s="29" t="str">
        <f>IFERROR(INDEX(總表!$B:$B,MATCH($A140,總表!$A:$A,0)),"")</f>
        <v/>
      </c>
      <c r="C140" s="29" t="str">
        <f>IFERROR(INDEX(總表!$G:$G,MATCH($A140,總表!$A:$A,0)),"")</f>
        <v/>
      </c>
      <c r="D140" s="29" t="str">
        <f>IFERROR(INDEX(總表!$C:$C,MATCH($A140,總表!$A:$A,0)),"")</f>
        <v/>
      </c>
      <c r="E140" s="29" t="str">
        <f>IFERROR(INDEX(總表!$F:$F,MATCH($A140,總表!$A:$A,0)),"")</f>
        <v/>
      </c>
      <c r="F140" s="29"/>
      <c r="G140" s="29"/>
      <c r="H140" s="29"/>
      <c r="I140" s="29">
        <f t="shared" si="6"/>
        <v>99</v>
      </c>
      <c r="J140" s="29">
        <f t="shared" si="4"/>
        <v>99</v>
      </c>
      <c r="K140" s="29">
        <f t="shared" si="5"/>
        <v>99</v>
      </c>
      <c r="L140" s="29" t="str">
        <f>IF(AND($D140="投手",LEFT($F140,3)="YES",OR($C140="MLB",$C140="3A",$C140="2A",$C140="日職一軍",$C140="韓職一軍",$C140="KBO")),COUNT($L$3:L139)+1,"")</f>
        <v/>
      </c>
      <c r="M140" s="29" t="str">
        <f>IF(AND($D140&lt;&gt;"投手",$D140&lt;&gt;"",LEFT($F140,3)="YES",OR($C140="MLB",$C140="3A",$C140="2A",$C140="日職一軍",$C140="韓職一軍",$C140="KBO")),COUNT($M$3:M139)+1,"")</f>
        <v/>
      </c>
      <c r="N140" s="29" t="str">
        <f>IF(AND($D140="投手",$F140="YES",OR($C140="MLB",$C140="一軍",$C140="KBO",$C140="3A",$C140="2A")),COUNT($N$2:N139)+1,"")</f>
        <v/>
      </c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>
      <c r="A141" s="29"/>
      <c r="B141" s="29" t="str">
        <f>IFERROR(INDEX(總表!$B:$B,MATCH($A141,總表!$A:$A,0)),"")</f>
        <v/>
      </c>
      <c r="C141" s="29" t="str">
        <f>IFERROR(INDEX(總表!$G:$G,MATCH($A141,總表!$A:$A,0)),"")</f>
        <v/>
      </c>
      <c r="D141" s="29" t="str">
        <f>IFERROR(INDEX(總表!$C:$C,MATCH($A141,總表!$A:$A,0)),"")</f>
        <v/>
      </c>
      <c r="E141" s="29" t="str">
        <f>IFERROR(INDEX(總表!$F:$F,MATCH($A141,總表!$A:$A,0)),"")</f>
        <v/>
      </c>
      <c r="F141" s="29"/>
      <c r="G141" s="29"/>
      <c r="H141" s="29"/>
      <c r="I141" s="29">
        <f t="shared" si="6"/>
        <v>99</v>
      </c>
      <c r="J141" s="29">
        <f t="shared" si="4"/>
        <v>99</v>
      </c>
      <c r="K141" s="29">
        <f t="shared" si="5"/>
        <v>99</v>
      </c>
      <c r="L141" s="29" t="str">
        <f>IF(AND($D141="投手",LEFT($F141,3)="YES",OR($C141="MLB",$C141="3A",$C141="2A",$C141="日職一軍",$C141="韓職一軍",$C141="KBO")),COUNT($L$3:L140)+1,"")</f>
        <v/>
      </c>
      <c r="M141" s="29" t="str">
        <f>IF(AND($D141&lt;&gt;"投手",$D141&lt;&gt;"",LEFT($F141,3)="YES",OR($C141="MLB",$C141="3A",$C141="2A",$C141="日職一軍",$C141="韓職一軍",$C141="KBO")),COUNT($M$3:M140)+1,"")</f>
        <v/>
      </c>
      <c r="N141" s="29" t="str">
        <f>IF(AND($D141="投手",$F141="YES",OR($C141="MLB",$C141="一軍",$C141="KBO",$C141="3A",$C141="2A")),COUNT($N$2:N140)+1,"")</f>
        <v/>
      </c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>
      <c r="A142" s="29"/>
      <c r="B142" s="29" t="str">
        <f>IFERROR(INDEX(總表!$B:$B,MATCH($A142,總表!$A:$A,0)),"")</f>
        <v/>
      </c>
      <c r="C142" s="29" t="str">
        <f>IFERROR(INDEX(總表!$G:$G,MATCH($A142,總表!$A:$A,0)),"")</f>
        <v/>
      </c>
      <c r="D142" s="29" t="str">
        <f>IFERROR(INDEX(總表!$C:$C,MATCH($A142,總表!$A:$A,0)),"")</f>
        <v/>
      </c>
      <c r="E142" s="29" t="str">
        <f>IFERROR(INDEX(總表!$F:$F,MATCH($A142,總表!$A:$A,0)),"")</f>
        <v/>
      </c>
      <c r="F142" s="29"/>
      <c r="G142" s="29"/>
      <c r="H142" s="29"/>
      <c r="I142" s="29">
        <f t="shared" si="6"/>
        <v>99</v>
      </c>
      <c r="J142" s="29">
        <f t="shared" si="4"/>
        <v>99</v>
      </c>
      <c r="K142" s="29">
        <f t="shared" si="5"/>
        <v>99</v>
      </c>
      <c r="L142" s="29" t="str">
        <f>IF(AND($D142="投手",LEFT($F142,3)="YES",OR($C142="MLB",$C142="3A",$C142="2A",$C142="日職一軍",$C142="韓職一軍",$C142="KBO")),COUNT($L$3:L141)+1,"")</f>
        <v/>
      </c>
      <c r="M142" s="29" t="str">
        <f>IF(AND($D142&lt;&gt;"投手",$D142&lt;&gt;"",LEFT($F142,3)="YES",OR($C142="MLB",$C142="3A",$C142="2A",$C142="日職一軍",$C142="韓職一軍",$C142="KBO")),COUNT($M$3:M141)+1,"")</f>
        <v/>
      </c>
      <c r="N142" s="29" t="str">
        <f>IF(AND($D142="投手",$F142="YES",OR($C142="MLB",$C142="一軍",$C142="KBO",$C142="3A",$C142="2A")),COUNT($N$2:N141)+1,"")</f>
        <v/>
      </c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>
      <c r="A143" s="29"/>
      <c r="B143" s="29" t="str">
        <f>IFERROR(INDEX(總表!$B:$B,MATCH($A143,總表!$A:$A,0)),"")</f>
        <v/>
      </c>
      <c r="C143" s="29" t="str">
        <f>IFERROR(INDEX(總表!$G:$G,MATCH($A143,總表!$A:$A,0)),"")</f>
        <v/>
      </c>
      <c r="D143" s="29" t="str">
        <f>IFERROR(INDEX(總表!$C:$C,MATCH($A143,總表!$A:$A,0)),"")</f>
        <v/>
      </c>
      <c r="E143" s="29" t="str">
        <f>IFERROR(INDEX(總表!$F:$F,MATCH($A143,總表!$A:$A,0)),"")</f>
        <v/>
      </c>
      <c r="F143" s="29"/>
      <c r="G143" s="29"/>
      <c r="H143" s="29"/>
      <c r="I143" s="29">
        <f t="shared" si="6"/>
        <v>99</v>
      </c>
      <c r="J143" s="29">
        <f t="shared" si="4"/>
        <v>99</v>
      </c>
      <c r="K143" s="29">
        <f t="shared" si="5"/>
        <v>99</v>
      </c>
      <c r="L143" s="29" t="str">
        <f>IF(AND($D143="投手",LEFT($F143,3)="YES",OR($C143="MLB",$C143="3A",$C143="2A",$C143="日職一軍",$C143="韓職一軍",$C143="KBO")),COUNT($L$3:L142)+1,"")</f>
        <v/>
      </c>
      <c r="M143" s="29" t="str">
        <f>IF(AND($D143&lt;&gt;"投手",$D143&lt;&gt;"",LEFT($F143,3)="YES",OR($C143="MLB",$C143="3A",$C143="2A",$C143="日職一軍",$C143="韓職一軍",$C143="KBO")),COUNT($M$3:M142)+1,"")</f>
        <v/>
      </c>
      <c r="N143" s="29" t="str">
        <f>IF(AND($D143="投手",$F143="YES",OR($C143="MLB",$C143="一軍",$C143="KBO",$C143="3A",$C143="2A")),COUNT($N$2:N142)+1,"")</f>
        <v/>
      </c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>
      <c r="A144" s="29"/>
      <c r="B144" s="29" t="str">
        <f>IFERROR(INDEX(總表!$B:$B,MATCH($A144,總表!$A:$A,0)),"")</f>
        <v/>
      </c>
      <c r="C144" s="29" t="str">
        <f>IFERROR(INDEX(總表!$G:$G,MATCH($A144,總表!$A:$A,0)),"")</f>
        <v/>
      </c>
      <c r="D144" s="29" t="str">
        <f>IFERROR(INDEX(總表!$C:$C,MATCH($A144,總表!$A:$A,0)),"")</f>
        <v/>
      </c>
      <c r="E144" s="29" t="str">
        <f>IFERROR(INDEX(總表!$F:$F,MATCH($A144,總表!$A:$A,0)),"")</f>
        <v/>
      </c>
      <c r="F144" s="29"/>
      <c r="G144" s="29"/>
      <c r="H144" s="29"/>
      <c r="I144" s="29">
        <f t="shared" si="6"/>
        <v>99</v>
      </c>
      <c r="J144" s="29">
        <f t="shared" si="4"/>
        <v>99</v>
      </c>
      <c r="K144" s="29">
        <f t="shared" si="5"/>
        <v>99</v>
      </c>
      <c r="L144" s="29" t="str">
        <f>IF(AND($D144="投手",LEFT($F144,3)="YES",OR($C144="MLB",$C144="3A",$C144="2A",$C144="日職一軍",$C144="韓職一軍",$C144="KBO")),COUNT($L$3:L143)+1,"")</f>
        <v/>
      </c>
      <c r="M144" s="29" t="str">
        <f>IF(AND($D144&lt;&gt;"投手",$D144&lt;&gt;"",LEFT($F144,3)="YES",OR($C144="MLB",$C144="3A",$C144="2A",$C144="日職一軍",$C144="韓職一軍",$C144="KBO")),COUNT($M$3:M143)+1,"")</f>
        <v/>
      </c>
      <c r="N144" s="29" t="str">
        <f>IF(AND($D144="投手",$F144="YES",OR($C144="MLB",$C144="一軍",$C144="KBO",$C144="3A",$C144="2A")),COUNT($N$2:N143)+1,"")</f>
        <v/>
      </c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>
      <c r="A145" s="29"/>
      <c r="B145" s="29" t="str">
        <f>IFERROR(INDEX(總表!$B:$B,MATCH($A145,總表!$A:$A,0)),"")</f>
        <v/>
      </c>
      <c r="C145" s="29" t="str">
        <f>IFERROR(INDEX(總表!$G:$G,MATCH($A145,總表!$A:$A,0)),"")</f>
        <v/>
      </c>
      <c r="D145" s="29" t="str">
        <f>IFERROR(INDEX(總表!$C:$C,MATCH($A145,總表!$A:$A,0)),"")</f>
        <v/>
      </c>
      <c r="E145" s="29" t="str">
        <f>IFERROR(INDEX(總表!$F:$F,MATCH($A145,總表!$A:$A,0)),"")</f>
        <v/>
      </c>
      <c r="F145" s="29"/>
      <c r="G145" s="29"/>
      <c r="H145" s="29"/>
      <c r="I145" s="29">
        <f t="shared" si="6"/>
        <v>99</v>
      </c>
      <c r="J145" s="29">
        <f t="shared" si="4"/>
        <v>99</v>
      </c>
      <c r="K145" s="29">
        <f t="shared" si="5"/>
        <v>99</v>
      </c>
      <c r="L145" s="29" t="str">
        <f>IF(AND($D145="投手",LEFT($F145,3)="YES",OR($C145="MLB",$C145="3A",$C145="2A",$C145="日職一軍",$C145="韓職一軍",$C145="KBO")),COUNT($L$3:L144)+1,"")</f>
        <v/>
      </c>
      <c r="M145" s="29" t="str">
        <f>IF(AND($D145&lt;&gt;"投手",$D145&lt;&gt;"",LEFT($F145,3)="YES",OR($C145="MLB",$C145="3A",$C145="2A",$C145="日職一軍",$C145="韓職一軍",$C145="KBO")),COUNT($M$3:M144)+1,"")</f>
        <v/>
      </c>
      <c r="N145" s="29" t="str">
        <f>IF(AND($D145="投手",$F145="YES",OR($C145="MLB",$C145="一軍",$C145="KBO",$C145="3A",$C145="2A")),COUNT($N$2:N144)+1,"")</f>
        <v/>
      </c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>
      <c r="A146" s="29"/>
      <c r="B146" s="29" t="str">
        <f>IFERROR(INDEX(總表!$B:$B,MATCH($A146,總表!$A:$A,0)),"")</f>
        <v/>
      </c>
      <c r="C146" s="29" t="str">
        <f>IFERROR(INDEX(總表!$G:$G,MATCH($A146,總表!$A:$A,0)),"")</f>
        <v/>
      </c>
      <c r="D146" s="29" t="str">
        <f>IFERROR(INDEX(總表!$C:$C,MATCH($A146,總表!$A:$A,0)),"")</f>
        <v/>
      </c>
      <c r="E146" s="29" t="str">
        <f>IFERROR(INDEX(總表!$F:$F,MATCH($A146,總表!$A:$A,0)),"")</f>
        <v/>
      </c>
      <c r="F146" s="29"/>
      <c r="G146" s="29"/>
      <c r="H146" s="29"/>
      <c r="I146" s="29">
        <f t="shared" si="6"/>
        <v>99</v>
      </c>
      <c r="J146" s="29">
        <f t="shared" si="4"/>
        <v>99</v>
      </c>
      <c r="K146" s="29">
        <f t="shared" si="5"/>
        <v>99</v>
      </c>
      <c r="L146" s="29" t="str">
        <f>IF(AND($D146="投手",LEFT($F146,3)="YES",OR($C146="MLB",$C146="3A",$C146="2A",$C146="日職一軍",$C146="韓職一軍",$C146="KBO")),COUNT($L$3:L145)+1,"")</f>
        <v/>
      </c>
      <c r="M146" s="29" t="str">
        <f>IF(AND($D146&lt;&gt;"投手",$D146&lt;&gt;"",LEFT($F146,3)="YES",OR($C146="MLB",$C146="3A",$C146="2A",$C146="日職一軍",$C146="韓職一軍",$C146="KBO")),COUNT($M$3:M145)+1,"")</f>
        <v/>
      </c>
      <c r="N146" s="29" t="str">
        <f>IF(AND($D146="投手",$F146="YES",OR($C146="MLB",$C146="一軍",$C146="KBO",$C146="3A",$C146="2A")),COUNT($N$2:N145)+1,"")</f>
        <v/>
      </c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>
      <c r="A147" s="29"/>
      <c r="B147" s="29" t="str">
        <f>IFERROR(INDEX(總表!$B:$B,MATCH($A147,總表!$A:$A,0)),"")</f>
        <v/>
      </c>
      <c r="C147" s="29" t="str">
        <f>IFERROR(INDEX(總表!$G:$G,MATCH($A147,總表!$A:$A,0)),"")</f>
        <v/>
      </c>
      <c r="D147" s="29" t="str">
        <f>IFERROR(INDEX(總表!$C:$C,MATCH($A147,總表!$A:$A,0)),"")</f>
        <v/>
      </c>
      <c r="E147" s="29" t="str">
        <f>IFERROR(INDEX(總表!$F:$F,MATCH($A147,總表!$A:$A,0)),"")</f>
        <v/>
      </c>
      <c r="F147" s="29"/>
      <c r="G147" s="29"/>
      <c r="H147" s="29"/>
      <c r="I147" s="29">
        <f t="shared" si="6"/>
        <v>99</v>
      </c>
      <c r="J147" s="29">
        <f t="shared" si="4"/>
        <v>99</v>
      </c>
      <c r="K147" s="29">
        <f t="shared" si="5"/>
        <v>99</v>
      </c>
      <c r="L147" s="29" t="str">
        <f>IF(AND($D147="投手",LEFT($F147,3)="YES",OR($C147="MLB",$C147="3A",$C147="2A",$C147="日職一軍",$C147="韓職一軍",$C147="KBO")),COUNT($L$3:L146)+1,"")</f>
        <v/>
      </c>
      <c r="M147" s="29" t="str">
        <f>IF(AND($D147&lt;&gt;"投手",$D147&lt;&gt;"",LEFT($F147,3)="YES",OR($C147="MLB",$C147="3A",$C147="2A",$C147="日職一軍",$C147="韓職一軍",$C147="KBO")),COUNT($M$3:M146)+1,"")</f>
        <v/>
      </c>
      <c r="N147" s="29" t="str">
        <f>IF(AND($D147="投手",$F147="YES",OR($C147="MLB",$C147="一軍",$C147="KBO",$C147="3A",$C147="2A")),COUNT($N$2:N146)+1,"")</f>
        <v/>
      </c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>
      <c r="A148" s="29"/>
      <c r="B148" s="29" t="str">
        <f>IFERROR(INDEX(總表!$B:$B,MATCH($A148,總表!$A:$A,0)),"")</f>
        <v/>
      </c>
      <c r="C148" s="29" t="str">
        <f>IFERROR(INDEX(總表!$G:$G,MATCH($A148,總表!$A:$A,0)),"")</f>
        <v/>
      </c>
      <c r="D148" s="29" t="str">
        <f>IFERROR(INDEX(總表!$C:$C,MATCH($A148,總表!$A:$A,0)),"")</f>
        <v/>
      </c>
      <c r="E148" s="29" t="str">
        <f>IFERROR(INDEX(總表!$F:$F,MATCH($A148,總表!$A:$A,0)),"")</f>
        <v/>
      </c>
      <c r="F148" s="29"/>
      <c r="G148" s="29"/>
      <c r="H148" s="29"/>
      <c r="I148" s="29">
        <f t="shared" si="6"/>
        <v>99</v>
      </c>
      <c r="J148" s="29">
        <f t="shared" si="4"/>
        <v>99</v>
      </c>
      <c r="K148" s="29">
        <f t="shared" si="5"/>
        <v>99</v>
      </c>
      <c r="L148" s="29" t="str">
        <f>IF(AND($D148="投手",LEFT($F148,3)="YES",OR($C148="MLB",$C148="3A",$C148="2A",$C148="日職一軍",$C148="韓職一軍",$C148="KBO")),COUNT($L$3:L147)+1,"")</f>
        <v/>
      </c>
      <c r="M148" s="29" t="str">
        <f>IF(AND($D148&lt;&gt;"投手",$D148&lt;&gt;"",LEFT($F148,3)="YES",OR($C148="MLB",$C148="3A",$C148="2A",$C148="日職一軍",$C148="韓職一軍",$C148="KBO")),COUNT($M$3:M147)+1,"")</f>
        <v/>
      </c>
      <c r="N148" s="29" t="str">
        <f>IF(AND($D148="投手",$F148="YES",OR($C148="MLB",$C148="一軍",$C148="KBO",$C148="3A",$C148="2A")),COUNT($N$2:N147)+1,"")</f>
        <v/>
      </c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>
      <c r="A149" s="29"/>
      <c r="B149" s="29" t="str">
        <f>IFERROR(INDEX(總表!$B:$B,MATCH($A149,總表!$A:$A,0)),"")</f>
        <v/>
      </c>
      <c r="C149" s="29" t="str">
        <f>IFERROR(INDEX(總表!$G:$G,MATCH($A149,總表!$A:$A,0)),"")</f>
        <v/>
      </c>
      <c r="D149" s="29" t="str">
        <f>IFERROR(INDEX(總表!$C:$C,MATCH($A149,總表!$A:$A,0)),"")</f>
        <v/>
      </c>
      <c r="E149" s="29" t="str">
        <f>IFERROR(INDEX(總表!$F:$F,MATCH($A149,總表!$A:$A,0)),"")</f>
        <v/>
      </c>
      <c r="F149" s="29"/>
      <c r="G149" s="29"/>
      <c r="H149" s="29"/>
      <c r="I149" s="29">
        <f t="shared" si="6"/>
        <v>99</v>
      </c>
      <c r="J149" s="29">
        <f t="shared" si="4"/>
        <v>99</v>
      </c>
      <c r="K149" s="29">
        <f t="shared" si="5"/>
        <v>99</v>
      </c>
      <c r="L149" s="29" t="str">
        <f>IF(AND($D149="投手",LEFT($F149,3)="YES",OR($C149="MLB",$C149="3A",$C149="2A",$C149="日職一軍",$C149="韓職一軍",$C149="KBO")),COUNT($L$3:L148)+1,"")</f>
        <v/>
      </c>
      <c r="M149" s="29" t="str">
        <f>IF(AND($D149&lt;&gt;"投手",$D149&lt;&gt;"",LEFT($F149,3)="YES",OR($C149="MLB",$C149="3A",$C149="2A",$C149="日職一軍",$C149="韓職一軍",$C149="KBO")),COUNT($M$3:M148)+1,"")</f>
        <v/>
      </c>
      <c r="N149" s="29" t="str">
        <f>IF(AND($D149="投手",$F149="YES",OR($C149="MLB",$C149="一軍",$C149="KBO",$C149="3A",$C149="2A")),COUNT($N$2:N148)+1,"")</f>
        <v/>
      </c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>
      <c r="A150" s="29"/>
      <c r="B150" s="29" t="str">
        <f>IFERROR(INDEX(總表!$B:$B,MATCH($A150,總表!$A:$A,0)),"")</f>
        <v/>
      </c>
      <c r="C150" s="29" t="str">
        <f>IFERROR(INDEX(總表!$G:$G,MATCH($A150,總表!$A:$A,0)),"")</f>
        <v/>
      </c>
      <c r="D150" s="29" t="str">
        <f>IFERROR(INDEX(總表!$C:$C,MATCH($A150,總表!$A:$A,0)),"")</f>
        <v/>
      </c>
      <c r="E150" s="29" t="str">
        <f>IFERROR(INDEX(總表!$F:$F,MATCH($A150,總表!$A:$A,0)),"")</f>
        <v/>
      </c>
      <c r="F150" s="29"/>
      <c r="G150" s="29"/>
      <c r="H150" s="29"/>
      <c r="I150" s="29">
        <f t="shared" si="6"/>
        <v>99</v>
      </c>
      <c r="J150" s="29">
        <f t="shared" si="4"/>
        <v>99</v>
      </c>
      <c r="K150" s="29">
        <f t="shared" si="5"/>
        <v>99</v>
      </c>
      <c r="L150" s="29" t="str">
        <f>IF(AND($D150="投手",LEFT($F150,3)="YES",OR($C150="MLB",$C150="3A",$C150="2A",$C150="日職一軍",$C150="韓職一軍",$C150="KBO")),COUNT($L$3:L149)+1,"")</f>
        <v/>
      </c>
      <c r="M150" s="29" t="str">
        <f>IF(AND($D150&lt;&gt;"投手",$D150&lt;&gt;"",LEFT($F150,3)="YES",OR($C150="MLB",$C150="3A",$C150="2A",$C150="日職一軍",$C150="韓職一軍",$C150="KBO")),COUNT($M$3:M149)+1,"")</f>
        <v/>
      </c>
      <c r="N150" s="29" t="str">
        <f>IF(AND($D150="投手",$F150="YES",OR($C150="MLB",$C150="一軍",$C150="KBO",$C150="3A",$C150="2A")),COUNT($N$2:N149)+1,"")</f>
        <v/>
      </c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>
      <c r="A151" s="29"/>
      <c r="B151" s="29" t="str">
        <f>IFERROR(INDEX(總表!$B:$B,MATCH($A151,總表!$A:$A,0)),"")</f>
        <v/>
      </c>
      <c r="C151" s="29" t="str">
        <f>IFERROR(INDEX(總表!$G:$G,MATCH($A151,總表!$A:$A,0)),"")</f>
        <v/>
      </c>
      <c r="D151" s="29" t="str">
        <f>IFERROR(INDEX(總表!$C:$C,MATCH($A151,總表!$A:$A,0)),"")</f>
        <v/>
      </c>
      <c r="E151" s="29" t="str">
        <f>IFERROR(INDEX(總表!$F:$F,MATCH($A151,總表!$A:$A,0)),"")</f>
        <v/>
      </c>
      <c r="F151" s="29"/>
      <c r="G151" s="29"/>
      <c r="H151" s="29"/>
      <c r="I151" s="29">
        <f t="shared" si="6"/>
        <v>99</v>
      </c>
      <c r="J151" s="29">
        <f t="shared" si="4"/>
        <v>99</v>
      </c>
      <c r="K151" s="29">
        <f t="shared" si="5"/>
        <v>99</v>
      </c>
      <c r="L151" s="29" t="str">
        <f>IF(AND($D151="投手",LEFT($F151,3)="YES",OR($C151="MLB",$C151="3A",$C151="2A",$C151="日職一軍",$C151="韓職一軍",$C151="KBO")),COUNT($L$3:L150)+1,"")</f>
        <v/>
      </c>
      <c r="M151" s="29" t="str">
        <f>IF(AND($D151&lt;&gt;"投手",$D151&lt;&gt;"",LEFT($F151,3)="YES",OR($C151="MLB",$C151="3A",$C151="2A",$C151="日職一軍",$C151="韓職一軍",$C151="KBO")),COUNT($M$3:M150)+1,"")</f>
        <v/>
      </c>
      <c r="N151" s="29" t="str">
        <f>IF(AND($D151="投手",$F151="YES",OR($C151="MLB",$C151="一軍",$C151="KBO",$C151="3A",$C151="2A")),COUNT($N$2:N150)+1,"")</f>
        <v/>
      </c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>
      <c r="A152" s="29"/>
      <c r="B152" s="29" t="str">
        <f>IFERROR(INDEX(總表!$B:$B,MATCH($A152,總表!$A:$A,0)),"")</f>
        <v/>
      </c>
      <c r="C152" s="29" t="str">
        <f>IFERROR(INDEX(總表!$G:$G,MATCH($A152,總表!$A:$A,0)),"")</f>
        <v/>
      </c>
      <c r="D152" s="29" t="str">
        <f>IFERROR(INDEX(總表!$C:$C,MATCH($A152,總表!$A:$A,0)),"")</f>
        <v/>
      </c>
      <c r="E152" s="29" t="str">
        <f>IFERROR(INDEX(總表!$F:$F,MATCH($A152,總表!$A:$A,0)),"")</f>
        <v/>
      </c>
      <c r="F152" s="29"/>
      <c r="G152" s="29"/>
      <c r="H152" s="29"/>
      <c r="I152" s="29">
        <f t="shared" si="6"/>
        <v>99</v>
      </c>
      <c r="J152" s="29">
        <f t="shared" si="4"/>
        <v>99</v>
      </c>
      <c r="K152" s="29">
        <f t="shared" si="5"/>
        <v>99</v>
      </c>
      <c r="L152" s="29" t="str">
        <f>IF(AND($D152="投手",LEFT($F152,3)="YES",OR($C152="MLB",$C152="3A",$C152="2A",$C152="日職一軍",$C152="韓職一軍",$C152="KBO")),COUNT($L$3:L151)+1,"")</f>
        <v/>
      </c>
      <c r="M152" s="29" t="str">
        <f>IF(AND($D152&lt;&gt;"投手",$D152&lt;&gt;"",LEFT($F152,3)="YES",OR($C152="MLB",$C152="3A",$C152="2A",$C152="日職一軍",$C152="韓職一軍",$C152="KBO")),COUNT($M$3:M151)+1,"")</f>
        <v/>
      </c>
      <c r="N152" s="29" t="str">
        <f>IF(AND($D152="投手",$F152="YES",OR($C152="MLB",$C152="一軍",$C152="KBO",$C152="3A",$C152="2A")),COUNT($N$2:N151)+1,"")</f>
        <v/>
      </c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>
      <c r="A153" s="29"/>
      <c r="B153" s="29" t="str">
        <f>IFERROR(INDEX(總表!$B:$B,MATCH($A153,總表!$A:$A,0)),"")</f>
        <v/>
      </c>
      <c r="C153" s="29" t="str">
        <f>IFERROR(INDEX(總表!$G:$G,MATCH($A153,總表!$A:$A,0)),"")</f>
        <v/>
      </c>
      <c r="D153" s="29" t="str">
        <f>IFERROR(INDEX(總表!$C:$C,MATCH($A153,總表!$A:$A,0)),"")</f>
        <v/>
      </c>
      <c r="E153" s="29" t="str">
        <f>IFERROR(INDEX(總表!$F:$F,MATCH($A153,總表!$A:$A,0)),"")</f>
        <v/>
      </c>
      <c r="F153" s="29"/>
      <c r="G153" s="29"/>
      <c r="H153" s="29"/>
      <c r="I153" s="29">
        <f t="shared" si="6"/>
        <v>99</v>
      </c>
      <c r="J153" s="29">
        <f t="shared" si="4"/>
        <v>99</v>
      </c>
      <c r="K153" s="29">
        <f t="shared" si="5"/>
        <v>99</v>
      </c>
      <c r="L153" s="29" t="str">
        <f>IF(AND($D153="投手",LEFT($F153,3)="YES",OR($C153="MLB",$C153="3A",$C153="2A",$C153="日職一軍",$C153="韓職一軍",$C153="KBO")),COUNT($L$3:L152)+1,"")</f>
        <v/>
      </c>
      <c r="M153" s="29" t="str">
        <f>IF(AND($D153&lt;&gt;"投手",$D153&lt;&gt;"",LEFT($F153,3)="YES",OR($C153="MLB",$C153="3A",$C153="2A",$C153="日職一軍",$C153="韓職一軍",$C153="KBO")),COUNT($M$3:M152)+1,"")</f>
        <v/>
      </c>
      <c r="N153" s="29" t="str">
        <f>IF(AND($D153="投手",$F153="YES",OR($C153="MLB",$C153="一軍",$C153="KBO",$C153="3A",$C153="2A")),COUNT($N$2:N152)+1,"")</f>
        <v/>
      </c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>
      <c r="A154" s="29"/>
      <c r="B154" s="29" t="str">
        <f>IFERROR(INDEX(總表!$B:$B,MATCH($A154,總表!$A:$A,0)),"")</f>
        <v/>
      </c>
      <c r="C154" s="29" t="str">
        <f>IFERROR(INDEX(總表!$G:$G,MATCH($A154,總表!$A:$A,0)),"")</f>
        <v/>
      </c>
      <c r="D154" s="29" t="str">
        <f>IFERROR(INDEX(總表!$C:$C,MATCH($A154,總表!$A:$A,0)),"")</f>
        <v/>
      </c>
      <c r="E154" s="29" t="str">
        <f>IFERROR(INDEX(總表!$F:$F,MATCH($A154,總表!$A:$A,0)),"")</f>
        <v/>
      </c>
      <c r="F154" s="29"/>
      <c r="G154" s="29"/>
      <c r="H154" s="29"/>
      <c r="I154" s="29">
        <f t="shared" si="6"/>
        <v>99</v>
      </c>
      <c r="J154" s="29">
        <f t="shared" si="4"/>
        <v>99</v>
      </c>
      <c r="K154" s="29">
        <f t="shared" si="5"/>
        <v>99</v>
      </c>
      <c r="L154" s="29" t="str">
        <f>IF(AND($D154="投手",LEFT($F154,3)="YES",OR($C154="MLB",$C154="3A",$C154="2A",$C154="日職一軍",$C154="韓職一軍",$C154="KBO")),COUNT($L$3:L153)+1,"")</f>
        <v/>
      </c>
      <c r="M154" s="29" t="str">
        <f>IF(AND($D154&lt;&gt;"投手",$D154&lt;&gt;"",LEFT($F154,3)="YES",OR($C154="MLB",$C154="3A",$C154="2A",$C154="日職一軍",$C154="韓職一軍",$C154="KBO")),COUNT($M$3:M153)+1,"")</f>
        <v/>
      </c>
      <c r="N154" s="29" t="str">
        <f>IF(AND($D154="投手",$F154="YES",OR($C154="MLB",$C154="一軍",$C154="KBO",$C154="3A",$C154="2A")),COUNT($N$2:N153)+1,"")</f>
        <v/>
      </c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>
      <c r="A155" s="29"/>
      <c r="B155" s="29" t="str">
        <f>IFERROR(INDEX(總表!$B:$B,MATCH($A155,總表!$A:$A,0)),"")</f>
        <v/>
      </c>
      <c r="C155" s="29" t="str">
        <f>IFERROR(INDEX(總表!$G:$G,MATCH($A155,總表!$A:$A,0)),"")</f>
        <v/>
      </c>
      <c r="D155" s="29" t="str">
        <f>IFERROR(INDEX(總表!$C:$C,MATCH($A155,總表!$A:$A,0)),"")</f>
        <v/>
      </c>
      <c r="E155" s="29" t="str">
        <f>IFERROR(INDEX(總表!$F:$F,MATCH($A155,總表!$A:$A,0)),"")</f>
        <v/>
      </c>
      <c r="F155" s="29"/>
      <c r="G155" s="29"/>
      <c r="H155" s="29"/>
      <c r="I155" s="29">
        <f t="shared" si="6"/>
        <v>99</v>
      </c>
      <c r="J155" s="29">
        <f t="shared" si="4"/>
        <v>99</v>
      </c>
      <c r="K155" s="29">
        <f t="shared" si="5"/>
        <v>99</v>
      </c>
      <c r="L155" s="29" t="str">
        <f>IF(AND($D155="投手",LEFT($F155,3)="YES",OR($C155="MLB",$C155="3A",$C155="2A",$C155="日職一軍",$C155="韓職一軍",$C155="KBO")),COUNT($L$3:L154)+1,"")</f>
        <v/>
      </c>
      <c r="M155" s="29" t="str">
        <f>IF(AND($D155&lt;&gt;"投手",$D155&lt;&gt;"",LEFT($F155,3)="YES",OR($C155="MLB",$C155="3A",$C155="2A",$C155="日職一軍",$C155="韓職一軍",$C155="KBO")),COUNT($M$3:M154)+1,"")</f>
        <v/>
      </c>
      <c r="N155" s="29" t="str">
        <f>IF(AND($D155="投手",$F155="YES",OR($C155="MLB",$C155="一軍",$C155="KBO",$C155="3A",$C155="2A")),COUNT($N$2:N154)+1,"")</f>
        <v/>
      </c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>
      <c r="A156" s="29"/>
      <c r="B156" s="29" t="str">
        <f>IFERROR(INDEX(總表!$B:$B,MATCH($A156,總表!$A:$A,0)),"")</f>
        <v/>
      </c>
      <c r="C156" s="29" t="str">
        <f>IFERROR(INDEX(總表!$G:$G,MATCH($A156,總表!$A:$A,0)),"")</f>
        <v/>
      </c>
      <c r="D156" s="29" t="str">
        <f>IFERROR(INDEX(總表!$C:$C,MATCH($A156,總表!$A:$A,0)),"")</f>
        <v/>
      </c>
      <c r="E156" s="29" t="str">
        <f>IFERROR(INDEX(總表!$F:$F,MATCH($A156,總表!$A:$A,0)),"")</f>
        <v/>
      </c>
      <c r="F156" s="29"/>
      <c r="G156" s="29"/>
      <c r="H156" s="29"/>
      <c r="I156" s="29">
        <f t="shared" si="6"/>
        <v>99</v>
      </c>
      <c r="J156" s="29">
        <f t="shared" si="4"/>
        <v>99</v>
      </c>
      <c r="K156" s="29">
        <f t="shared" si="5"/>
        <v>99</v>
      </c>
      <c r="L156" s="29" t="str">
        <f>IF(AND($D156="投手",LEFT($F156,3)="YES",OR($C156="MLB",$C156="3A",$C156="2A",$C156="日職一軍",$C156="韓職一軍",$C156="KBO")),COUNT($L$3:L155)+1,"")</f>
        <v/>
      </c>
      <c r="M156" s="29" t="str">
        <f>IF(AND($D156&lt;&gt;"投手",$D156&lt;&gt;"",LEFT($F156,3)="YES",OR($C156="MLB",$C156="3A",$C156="2A",$C156="日職一軍",$C156="韓職一軍",$C156="KBO")),COUNT($M$3:M155)+1,"")</f>
        <v/>
      </c>
      <c r="N156" s="29" t="str">
        <f>IF(AND($D156="投手",$F156="YES",OR($C156="MLB",$C156="一軍",$C156="KBO",$C156="3A",$C156="2A")),COUNT($N$2:N155)+1,"")</f>
        <v/>
      </c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>
      <c r="A157" s="29"/>
      <c r="B157" s="29" t="str">
        <f>IFERROR(INDEX(總表!$B:$B,MATCH($A157,總表!$A:$A,0)),"")</f>
        <v/>
      </c>
      <c r="C157" s="29" t="str">
        <f>IFERROR(INDEX(總表!$G:$G,MATCH($A157,總表!$A:$A,0)),"")</f>
        <v/>
      </c>
      <c r="D157" s="29" t="str">
        <f>IFERROR(INDEX(總表!$C:$C,MATCH($A157,總表!$A:$A,0)),"")</f>
        <v/>
      </c>
      <c r="E157" s="29" t="str">
        <f>IFERROR(INDEX(總表!$F:$F,MATCH($A157,總表!$A:$A,0)),"")</f>
        <v/>
      </c>
      <c r="F157" s="29"/>
      <c r="G157" s="29"/>
      <c r="H157" s="29"/>
      <c r="I157" s="29">
        <f t="shared" si="6"/>
        <v>99</v>
      </c>
      <c r="J157" s="29">
        <f t="shared" si="4"/>
        <v>99</v>
      </c>
      <c r="K157" s="29">
        <f t="shared" si="5"/>
        <v>99</v>
      </c>
      <c r="L157" s="29" t="str">
        <f>IF(AND($D157="投手",LEFT($F157,3)="YES",OR($C157="MLB",$C157="3A",$C157="2A",$C157="日職一軍",$C157="韓職一軍",$C157="KBO")),COUNT($L$3:L156)+1,"")</f>
        <v/>
      </c>
      <c r="M157" s="29" t="str">
        <f>IF(AND($D157&lt;&gt;"投手",$D157&lt;&gt;"",LEFT($F157,3)="YES",OR($C157="MLB",$C157="3A",$C157="2A",$C157="日職一軍",$C157="韓職一軍",$C157="KBO")),COUNT($M$3:M156)+1,"")</f>
        <v/>
      </c>
      <c r="N157" s="29" t="str">
        <f>IF(AND($D157="投手",$F157="YES",OR($C157="MLB",$C157="一軍",$C157="KBO",$C157="3A",$C157="2A")),COUNT($N$2:N156)+1,"")</f>
        <v/>
      </c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>
      <c r="A158" s="29"/>
      <c r="B158" s="29" t="str">
        <f>IFERROR(INDEX(總表!$B:$B,MATCH($A158,總表!$A:$A,0)),"")</f>
        <v/>
      </c>
      <c r="C158" s="29" t="str">
        <f>IFERROR(INDEX(總表!$G:$G,MATCH($A158,總表!$A:$A,0)),"")</f>
        <v/>
      </c>
      <c r="D158" s="29" t="str">
        <f>IFERROR(INDEX(總表!$C:$C,MATCH($A158,總表!$A:$A,0)),"")</f>
        <v/>
      </c>
      <c r="E158" s="29" t="str">
        <f>IFERROR(INDEX(總表!$F:$F,MATCH($A158,總表!$A:$A,0)),"")</f>
        <v/>
      </c>
      <c r="F158" s="29"/>
      <c r="G158" s="29"/>
      <c r="H158" s="29"/>
      <c r="I158" s="29">
        <f t="shared" si="6"/>
        <v>99</v>
      </c>
      <c r="J158" s="29">
        <f t="shared" si="4"/>
        <v>99</v>
      </c>
      <c r="K158" s="29">
        <f t="shared" si="5"/>
        <v>99</v>
      </c>
      <c r="L158" s="29" t="str">
        <f>IF(AND($D158="投手",LEFT($F158,3)="YES",OR($C158="MLB",$C158="3A",$C158="2A",$C158="日職一軍",$C158="韓職一軍",$C158="KBO")),COUNT($L$3:L157)+1,"")</f>
        <v/>
      </c>
      <c r="M158" s="29" t="str">
        <f>IF(AND($D158&lt;&gt;"投手",$D158&lt;&gt;"",LEFT($F158,3)="YES",OR($C158="MLB",$C158="3A",$C158="2A",$C158="日職一軍",$C158="韓職一軍",$C158="KBO")),COUNT($M$3:M157)+1,"")</f>
        <v/>
      </c>
      <c r="N158" s="29" t="str">
        <f>IF(AND($D158="投手",$F158="YES",OR($C158="MLB",$C158="一軍",$C158="KBO",$C158="3A",$C158="2A")),COUNT($N$2:N157)+1,"")</f>
        <v/>
      </c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>
      <c r="A159" s="29"/>
      <c r="B159" s="29" t="str">
        <f>IFERROR(INDEX(總表!$B:$B,MATCH($A159,總表!$A:$A,0)),"")</f>
        <v/>
      </c>
      <c r="C159" s="29" t="str">
        <f>IFERROR(INDEX(總表!$G:$G,MATCH($A159,總表!$A:$A,0)),"")</f>
        <v/>
      </c>
      <c r="D159" s="29" t="str">
        <f>IFERROR(INDEX(總表!$C:$C,MATCH($A159,總表!$A:$A,0)),"")</f>
        <v/>
      </c>
      <c r="E159" s="29" t="str">
        <f>IFERROR(INDEX(總表!$F:$F,MATCH($A159,總表!$A:$A,0)),"")</f>
        <v/>
      </c>
      <c r="F159" s="29"/>
      <c r="G159" s="29"/>
      <c r="H159" s="29"/>
      <c r="I159" s="29">
        <f t="shared" si="6"/>
        <v>99</v>
      </c>
      <c r="J159" s="29">
        <f t="shared" si="4"/>
        <v>99</v>
      </c>
      <c r="K159" s="29">
        <f t="shared" si="5"/>
        <v>99</v>
      </c>
      <c r="L159" s="29" t="str">
        <f>IF(AND($D159="投手",LEFT($F159,3)="YES",OR($C159="MLB",$C159="3A",$C159="2A",$C159="日職一軍",$C159="韓職一軍",$C159="KBO")),COUNT($L$3:L158)+1,"")</f>
        <v/>
      </c>
      <c r="M159" s="29" t="str">
        <f>IF(AND($D159&lt;&gt;"投手",$D159&lt;&gt;"",LEFT($F159,3)="YES",OR($C159="MLB",$C159="3A",$C159="2A",$C159="日職一軍",$C159="韓職一軍",$C159="KBO")),COUNT($M$3:M158)+1,"")</f>
        <v/>
      </c>
      <c r="N159" s="29" t="str">
        <f>IF(AND($D159="投手",$F159="YES",OR($C159="MLB",$C159="一軍",$C159="KBO",$C159="3A",$C159="2A")),COUNT($N$2:N158)+1,"")</f>
        <v/>
      </c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>
      <c r="A160" s="29"/>
      <c r="B160" s="29" t="str">
        <f>IFERROR(INDEX(總表!$B:$B,MATCH($A160,總表!$A:$A,0)),"")</f>
        <v/>
      </c>
      <c r="C160" s="29" t="str">
        <f>IFERROR(INDEX(總表!$G:$G,MATCH($A160,總表!$A:$A,0)),"")</f>
        <v/>
      </c>
      <c r="D160" s="29" t="str">
        <f>IFERROR(INDEX(總表!$C:$C,MATCH($A160,總表!$A:$A,0)),"")</f>
        <v/>
      </c>
      <c r="E160" s="29" t="str">
        <f>IFERROR(INDEX(總表!$F:$F,MATCH($A160,總表!$A:$A,0)),"")</f>
        <v/>
      </c>
      <c r="F160" s="29"/>
      <c r="G160" s="29"/>
      <c r="H160" s="29"/>
      <c r="I160" s="29">
        <f t="shared" si="6"/>
        <v>99</v>
      </c>
      <c r="J160" s="29">
        <f t="shared" si="4"/>
        <v>99</v>
      </c>
      <c r="K160" s="29">
        <f t="shared" si="5"/>
        <v>99</v>
      </c>
      <c r="L160" s="29" t="str">
        <f>IF(AND($D160="投手",LEFT($F160,3)="YES",OR($C160="MLB",$C160="3A",$C160="2A",$C160="日職一軍",$C160="韓職一軍",$C160="KBO")),COUNT($L$3:L159)+1,"")</f>
        <v/>
      </c>
      <c r="M160" s="29" t="str">
        <f>IF(AND($D160&lt;&gt;"投手",$D160&lt;&gt;"",LEFT($F160,3)="YES",OR($C160="MLB",$C160="3A",$C160="2A",$C160="日職一軍",$C160="韓職一軍",$C160="KBO")),COUNT($M$3:M159)+1,"")</f>
        <v/>
      </c>
      <c r="N160" s="29" t="str">
        <f>IF(AND($D160="投手",$F160="YES",OR($C160="MLB",$C160="一軍",$C160="KBO",$C160="3A",$C160="2A")),COUNT($N$2:N159)+1,"")</f>
        <v/>
      </c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>
      <c r="A161" s="29"/>
      <c r="B161" s="29" t="str">
        <f>IFERROR(INDEX(總表!$B:$B,MATCH($A161,總表!$A:$A,0)),"")</f>
        <v/>
      </c>
      <c r="C161" s="29" t="str">
        <f>IFERROR(INDEX(總表!$G:$G,MATCH($A161,總表!$A:$A,0)),"")</f>
        <v/>
      </c>
      <c r="D161" s="29" t="str">
        <f>IFERROR(INDEX(總表!$C:$C,MATCH($A161,總表!$A:$A,0)),"")</f>
        <v/>
      </c>
      <c r="E161" s="29" t="str">
        <f>IFERROR(INDEX(總表!$F:$F,MATCH($A161,總表!$A:$A,0)),"")</f>
        <v/>
      </c>
      <c r="F161" s="29"/>
      <c r="G161" s="29"/>
      <c r="H161" s="29"/>
      <c r="I161" s="29">
        <f t="shared" si="6"/>
        <v>99</v>
      </c>
      <c r="J161" s="29">
        <f t="shared" si="4"/>
        <v>99</v>
      </c>
      <c r="K161" s="29">
        <f t="shared" si="5"/>
        <v>99</v>
      </c>
      <c r="L161" s="29" t="str">
        <f>IF(AND($D161="投手",LEFT($F161,3)="YES",OR($C161="MLB",$C161="3A",$C161="2A",$C161="日職一軍",$C161="韓職一軍",$C161="KBO")),COUNT($L$3:L160)+1,"")</f>
        <v/>
      </c>
      <c r="M161" s="29" t="str">
        <f>IF(AND($D161&lt;&gt;"投手",$D161&lt;&gt;"",LEFT($F161,3)="YES",OR($C161="MLB",$C161="3A",$C161="2A",$C161="日職一軍",$C161="韓職一軍",$C161="KBO")),COUNT($M$3:M160)+1,"")</f>
        <v/>
      </c>
      <c r="N161" s="29" t="str">
        <f>IF(AND($D161="投手",$F161="YES",OR($C161="MLB",$C161="一軍",$C161="KBO",$C161="3A",$C161="2A")),COUNT($N$2:N160)+1,"")</f>
        <v/>
      </c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>
      <c r="A162" s="29"/>
      <c r="B162" s="29" t="str">
        <f>IFERROR(INDEX(總表!$B:$B,MATCH($A162,總表!$A:$A,0)),"")</f>
        <v/>
      </c>
      <c r="C162" s="29" t="str">
        <f>IFERROR(INDEX(總表!$G:$G,MATCH($A162,總表!$A:$A,0)),"")</f>
        <v/>
      </c>
      <c r="D162" s="29" t="str">
        <f>IFERROR(INDEX(總表!$C:$C,MATCH($A162,總表!$A:$A,0)),"")</f>
        <v/>
      </c>
      <c r="E162" s="29" t="str">
        <f>IFERROR(INDEX(總表!$F:$F,MATCH($A162,總表!$A:$A,0)),"")</f>
        <v/>
      </c>
      <c r="F162" s="29"/>
      <c r="G162" s="29"/>
      <c r="H162" s="29"/>
      <c r="I162" s="29">
        <f t="shared" si="6"/>
        <v>99</v>
      </c>
      <c r="J162" s="29">
        <f t="shared" si="4"/>
        <v>99</v>
      </c>
      <c r="K162" s="29">
        <f t="shared" si="5"/>
        <v>99</v>
      </c>
      <c r="L162" s="29" t="str">
        <f>IF(AND($D162="投手",LEFT($F162,3)="YES",OR($C162="MLB",$C162="3A",$C162="2A",$C162="日職一軍",$C162="韓職一軍",$C162="KBO")),COUNT($L$3:L161)+1,"")</f>
        <v/>
      </c>
      <c r="M162" s="29" t="str">
        <f>IF(AND($D162&lt;&gt;"投手",$D162&lt;&gt;"",LEFT($F162,3)="YES",OR($C162="MLB",$C162="3A",$C162="2A",$C162="日職一軍",$C162="韓職一軍",$C162="KBO")),COUNT($M$3:M161)+1,"")</f>
        <v/>
      </c>
      <c r="N162" s="29" t="str">
        <f>IF(AND($D162="投手",$F162="YES",OR($C162="MLB",$C162="一軍",$C162="KBO",$C162="3A",$C162="2A")),COUNT($N$2:N161)+1,"")</f>
        <v/>
      </c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>
      <c r="A163" s="29"/>
      <c r="B163" s="29" t="str">
        <f>IFERROR(INDEX(總表!$B:$B,MATCH($A163,總表!$A:$A,0)),"")</f>
        <v/>
      </c>
      <c r="C163" s="29" t="str">
        <f>IFERROR(INDEX(總表!$G:$G,MATCH($A163,總表!$A:$A,0)),"")</f>
        <v/>
      </c>
      <c r="D163" s="29" t="str">
        <f>IFERROR(INDEX(總表!$C:$C,MATCH($A163,總表!$A:$A,0)),"")</f>
        <v/>
      </c>
      <c r="E163" s="29" t="str">
        <f>IFERROR(INDEX(總表!$F:$F,MATCH($A163,總表!$A:$A,0)),"")</f>
        <v/>
      </c>
      <c r="F163" s="29"/>
      <c r="G163" s="29"/>
      <c r="H163" s="29"/>
      <c r="I163" s="29">
        <f t="shared" si="6"/>
        <v>99</v>
      </c>
      <c r="J163" s="29">
        <f t="shared" si="4"/>
        <v>99</v>
      </c>
      <c r="K163" s="29">
        <f t="shared" si="5"/>
        <v>99</v>
      </c>
      <c r="L163" s="29" t="str">
        <f>IF(AND($D163="投手",LEFT($F163,3)="YES",OR($C163="MLB",$C163="3A",$C163="2A",$C163="日職一軍",$C163="韓職一軍",$C163="KBO")),COUNT($L$3:L162)+1,"")</f>
        <v/>
      </c>
      <c r="M163" s="29" t="str">
        <f>IF(AND($D163&lt;&gt;"投手",$D163&lt;&gt;"",LEFT($F163,3)="YES",OR($C163="MLB",$C163="3A",$C163="2A",$C163="日職一軍",$C163="韓職一軍",$C163="KBO")),COUNT($M$3:M162)+1,"")</f>
        <v/>
      </c>
      <c r="N163" s="29" t="str">
        <f>IF(AND($D163="投手",$F163="YES",OR($C163="MLB",$C163="一軍",$C163="KBO",$C163="3A",$C163="2A")),COUNT($N$2:N162)+1,"")</f>
        <v/>
      </c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>
      <c r="A164" s="29"/>
      <c r="B164" s="29" t="str">
        <f>IFERROR(INDEX(總表!$B:$B,MATCH($A164,總表!$A:$A,0)),"")</f>
        <v/>
      </c>
      <c r="C164" s="29" t="str">
        <f>IFERROR(INDEX(總表!$G:$G,MATCH($A164,總表!$A:$A,0)),"")</f>
        <v/>
      </c>
      <c r="D164" s="29" t="str">
        <f>IFERROR(INDEX(總表!$C:$C,MATCH($A164,總表!$A:$A,0)),"")</f>
        <v/>
      </c>
      <c r="E164" s="29" t="str">
        <f>IFERROR(INDEX(總表!$F:$F,MATCH($A164,總表!$A:$A,0)),"")</f>
        <v/>
      </c>
      <c r="F164" s="29"/>
      <c r="G164" s="29"/>
      <c r="H164" s="29"/>
      <c r="I164" s="29">
        <f t="shared" si="6"/>
        <v>99</v>
      </c>
      <c r="J164" s="29">
        <f t="shared" si="4"/>
        <v>99</v>
      </c>
      <c r="K164" s="29">
        <f t="shared" si="5"/>
        <v>99</v>
      </c>
      <c r="L164" s="29" t="str">
        <f>IF(AND($D164="投手",LEFT($F164,3)="YES",OR($C164="MLB",$C164="3A",$C164="2A",$C164="日職一軍",$C164="韓職一軍",$C164="KBO")),COUNT($L$3:L163)+1,"")</f>
        <v/>
      </c>
      <c r="M164" s="29" t="str">
        <f>IF(AND($D164&lt;&gt;"投手",$D164&lt;&gt;"",LEFT($F164,3)="YES",OR($C164="MLB",$C164="3A",$C164="2A",$C164="日職一軍",$C164="韓職一軍",$C164="KBO")),COUNT($M$3:M163)+1,"")</f>
        <v/>
      </c>
      <c r="N164" s="29" t="str">
        <f>IF(AND($D164="投手",$F164="YES",OR($C164="MLB",$C164="一軍",$C164="KBO",$C164="3A",$C164="2A")),COUNT($N$2:N163)+1,"")</f>
        <v/>
      </c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>
      <c r="A165" s="29"/>
      <c r="B165" s="29" t="str">
        <f>IFERROR(INDEX(總表!$B:$B,MATCH($A165,總表!$A:$A,0)),"")</f>
        <v/>
      </c>
      <c r="C165" s="29" t="str">
        <f>IFERROR(INDEX(總表!$G:$G,MATCH($A165,總表!$A:$A,0)),"")</f>
        <v/>
      </c>
      <c r="D165" s="29" t="str">
        <f>IFERROR(INDEX(總表!$C:$C,MATCH($A165,總表!$A:$A,0)),"")</f>
        <v/>
      </c>
      <c r="E165" s="29" t="str">
        <f>IFERROR(INDEX(總表!$F:$F,MATCH($A165,總表!$A:$A,0)),"")</f>
        <v/>
      </c>
      <c r="F165" s="29"/>
      <c r="G165" s="29"/>
      <c r="H165" s="29"/>
      <c r="I165" s="29">
        <f t="shared" si="6"/>
        <v>99</v>
      </c>
      <c r="J165" s="29">
        <f t="shared" si="4"/>
        <v>99</v>
      </c>
      <c r="K165" s="29">
        <f t="shared" si="5"/>
        <v>99</v>
      </c>
      <c r="L165" s="29" t="str">
        <f>IF(AND($D165="投手",LEFT($F165,3)="YES",OR($C165="MLB",$C165="3A",$C165="2A",$C165="日職一軍",$C165="韓職一軍",$C165="KBO")),COUNT($L$3:L164)+1,"")</f>
        <v/>
      </c>
      <c r="M165" s="29" t="str">
        <f>IF(AND($D165&lt;&gt;"投手",$D165&lt;&gt;"",LEFT($F165,3)="YES",OR($C165="MLB",$C165="3A",$C165="2A",$C165="日職一軍",$C165="韓職一軍",$C165="KBO")),COUNT($M$3:M164)+1,"")</f>
        <v/>
      </c>
      <c r="N165" s="29" t="str">
        <f>IF(AND($D165="投手",$F165="YES",OR($C165="MLB",$C165="一軍",$C165="KBO",$C165="3A",$C165="2A")),COUNT($N$2:N164)+1,"")</f>
        <v/>
      </c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>
      <c r="A166" s="29"/>
      <c r="B166" s="29" t="str">
        <f>IFERROR(INDEX(總表!$B:$B,MATCH($A166,總表!$A:$A,0)),"")</f>
        <v/>
      </c>
      <c r="C166" s="29" t="str">
        <f>IFERROR(INDEX(總表!$G:$G,MATCH($A166,總表!$A:$A,0)),"")</f>
        <v/>
      </c>
      <c r="D166" s="29" t="str">
        <f>IFERROR(INDEX(總表!$C:$C,MATCH($A166,總表!$A:$A,0)),"")</f>
        <v/>
      </c>
      <c r="E166" s="29" t="str">
        <f>IFERROR(INDEX(總表!$F:$F,MATCH($A166,總表!$A:$A,0)),"")</f>
        <v/>
      </c>
      <c r="F166" s="29"/>
      <c r="G166" s="29"/>
      <c r="H166" s="29"/>
      <c r="I166" s="29">
        <f t="shared" si="6"/>
        <v>99</v>
      </c>
      <c r="J166" s="29">
        <f t="shared" si="4"/>
        <v>99</v>
      </c>
      <c r="K166" s="29">
        <f t="shared" si="5"/>
        <v>99</v>
      </c>
      <c r="L166" s="29" t="str">
        <f>IF(AND($D166="投手",LEFT($F166,3)="YES",OR($C166="MLB",$C166="3A",$C166="2A",$C166="日職一軍",$C166="韓職一軍",$C166="KBO")),COUNT($L$3:L165)+1,"")</f>
        <v/>
      </c>
      <c r="M166" s="29" t="str">
        <f>IF(AND($D166&lt;&gt;"投手",$D166&lt;&gt;"",LEFT($F166,3)="YES",OR($C166="MLB",$C166="3A",$C166="2A",$C166="日職一軍",$C166="韓職一軍",$C166="KBO")),COUNT($M$3:M165)+1,"")</f>
        <v/>
      </c>
      <c r="N166" s="29" t="str">
        <f>IF(AND($D166="投手",$F166="YES",OR($C166="MLB",$C166="一軍",$C166="KBO",$C166="3A",$C166="2A")),COUNT($N$2:N165)+1,"")</f>
        <v/>
      </c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>
      <c r="A167" s="29"/>
      <c r="B167" s="29" t="str">
        <f>IFERROR(INDEX(總表!$B:$B,MATCH($A167,總表!$A:$A,0)),"")</f>
        <v/>
      </c>
      <c r="C167" s="29" t="str">
        <f>IFERROR(INDEX(總表!$G:$G,MATCH($A167,總表!$A:$A,0)),"")</f>
        <v/>
      </c>
      <c r="D167" s="29" t="str">
        <f>IFERROR(INDEX(總表!$C:$C,MATCH($A167,總表!$A:$A,0)),"")</f>
        <v/>
      </c>
      <c r="E167" s="29" t="str">
        <f>IFERROR(INDEX(總表!$F:$F,MATCH($A167,總表!$A:$A,0)),"")</f>
        <v/>
      </c>
      <c r="F167" s="29"/>
      <c r="G167" s="29"/>
      <c r="H167" s="29"/>
      <c r="I167" s="29">
        <f t="shared" si="6"/>
        <v>99</v>
      </c>
      <c r="J167" s="29">
        <f t="shared" si="4"/>
        <v>99</v>
      </c>
      <c r="K167" s="29">
        <f t="shared" si="5"/>
        <v>99</v>
      </c>
      <c r="L167" s="29" t="str">
        <f>IF(AND($D167="投手",LEFT($F167,3)="YES",OR($C167="MLB",$C167="3A",$C167="2A",$C167="日職一軍",$C167="韓職一軍",$C167="KBO")),COUNT($L$3:L166)+1,"")</f>
        <v/>
      </c>
      <c r="M167" s="29" t="str">
        <f>IF(AND($D167&lt;&gt;"投手",$D167&lt;&gt;"",LEFT($F167,3)="YES",OR($C167="MLB",$C167="3A",$C167="2A",$C167="日職一軍",$C167="韓職一軍",$C167="KBO")),COUNT($M$3:M166)+1,"")</f>
        <v/>
      </c>
      <c r="N167" s="29" t="str">
        <f>IF(AND($D167="投手",$F167="YES",OR($C167="MLB",$C167="一軍",$C167="KBO",$C167="3A",$C167="2A")),COUNT($N$2:N166)+1,"")</f>
        <v/>
      </c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>
      <c r="A168" s="29"/>
      <c r="B168" s="29" t="str">
        <f>IFERROR(INDEX(總表!$B:$B,MATCH($A168,總表!$A:$A,0)),"")</f>
        <v/>
      </c>
      <c r="C168" s="29" t="str">
        <f>IFERROR(INDEX(總表!$G:$G,MATCH($A168,總表!$A:$A,0)),"")</f>
        <v/>
      </c>
      <c r="D168" s="29" t="str">
        <f>IFERROR(INDEX(總表!$C:$C,MATCH($A168,總表!$A:$A,0)),"")</f>
        <v/>
      </c>
      <c r="E168" s="29" t="str">
        <f>IFERROR(INDEX(總表!$F:$F,MATCH($A168,總表!$A:$A,0)),"")</f>
        <v/>
      </c>
      <c r="F168" s="29"/>
      <c r="G168" s="29"/>
      <c r="H168" s="29"/>
      <c r="I168" s="29">
        <f t="shared" si="6"/>
        <v>99</v>
      </c>
      <c r="J168" s="29">
        <f t="shared" si="4"/>
        <v>99</v>
      </c>
      <c r="K168" s="29">
        <f t="shared" si="5"/>
        <v>99</v>
      </c>
      <c r="L168" s="29" t="str">
        <f>IF(AND($D168="投手",LEFT($F168,3)="YES",OR($C168="MLB",$C168="3A",$C168="2A",$C168="日職一軍",$C168="韓職一軍",$C168="KBO")),COUNT($L$3:L167)+1,"")</f>
        <v/>
      </c>
      <c r="M168" s="29" t="str">
        <f>IF(AND($D168&lt;&gt;"投手",$D168&lt;&gt;"",LEFT($F168,3)="YES",OR($C168="MLB",$C168="3A",$C168="2A",$C168="日職一軍",$C168="韓職一軍",$C168="KBO")),COUNT($M$3:M167)+1,"")</f>
        <v/>
      </c>
      <c r="N168" s="29" t="str">
        <f>IF(AND($D168="投手",$F168="YES",OR($C168="MLB",$C168="一軍",$C168="KBO",$C168="3A",$C168="2A")),COUNT($N$2:N167)+1,"")</f>
        <v/>
      </c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>
      <c r="A169" s="29"/>
      <c r="B169" s="29" t="str">
        <f>IFERROR(INDEX(總表!$B:$B,MATCH($A169,總表!$A:$A,0)),"")</f>
        <v/>
      </c>
      <c r="C169" s="29" t="str">
        <f>IFERROR(INDEX(總表!$G:$G,MATCH($A169,總表!$A:$A,0)),"")</f>
        <v/>
      </c>
      <c r="D169" s="29" t="str">
        <f>IFERROR(INDEX(總表!$C:$C,MATCH($A169,總表!$A:$A,0)),"")</f>
        <v/>
      </c>
      <c r="E169" s="29" t="str">
        <f>IFERROR(INDEX(總表!$F:$F,MATCH($A169,總表!$A:$A,0)),"")</f>
        <v/>
      </c>
      <c r="F169" s="29"/>
      <c r="G169" s="29"/>
      <c r="H169" s="29"/>
      <c r="I169" s="29">
        <f t="shared" si="6"/>
        <v>99</v>
      </c>
      <c r="J169" s="29">
        <f t="shared" si="4"/>
        <v>99</v>
      </c>
      <c r="K169" s="29">
        <f t="shared" si="5"/>
        <v>99</v>
      </c>
      <c r="L169" s="29" t="str">
        <f>IF(AND($D169="投手",LEFT($F169,3)="YES",OR($C169="MLB",$C169="3A",$C169="2A",$C169="日職一軍",$C169="韓職一軍",$C169="KBO")),COUNT($L$3:L168)+1,"")</f>
        <v/>
      </c>
      <c r="M169" s="29" t="str">
        <f>IF(AND($D169&lt;&gt;"投手",$D169&lt;&gt;"",LEFT($F169,3)="YES",OR($C169="MLB",$C169="3A",$C169="2A",$C169="日職一軍",$C169="韓職一軍",$C169="KBO")),COUNT($M$3:M168)+1,"")</f>
        <v/>
      </c>
      <c r="N169" s="29" t="str">
        <f>IF(AND($D169="投手",$F169="YES",OR($C169="MLB",$C169="一軍",$C169="KBO",$C169="3A",$C169="2A")),COUNT($N$2:N168)+1,"")</f>
        <v/>
      </c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>
      <c r="A170" s="29"/>
      <c r="B170" s="29" t="str">
        <f>IFERROR(INDEX(總表!$B:$B,MATCH($A170,總表!$A:$A,0)),"")</f>
        <v/>
      </c>
      <c r="C170" s="29" t="str">
        <f>IFERROR(INDEX(總表!$G:$G,MATCH($A170,總表!$A:$A,0)),"")</f>
        <v/>
      </c>
      <c r="D170" s="29" t="str">
        <f>IFERROR(INDEX(總表!$C:$C,MATCH($A170,總表!$A:$A,0)),"")</f>
        <v/>
      </c>
      <c r="E170" s="29" t="str">
        <f>IFERROR(INDEX(總表!$F:$F,MATCH($A170,總表!$A:$A,0)),"")</f>
        <v/>
      </c>
      <c r="F170" s="29"/>
      <c r="G170" s="29"/>
      <c r="H170" s="29"/>
      <c r="I170" s="29">
        <f t="shared" si="6"/>
        <v>99</v>
      </c>
      <c r="J170" s="29">
        <f t="shared" si="4"/>
        <v>99</v>
      </c>
      <c r="K170" s="29">
        <f t="shared" si="5"/>
        <v>99</v>
      </c>
      <c r="L170" s="29" t="str">
        <f>IF(AND($D170="投手",LEFT($F170,3)="YES",OR($C170="MLB",$C170="3A",$C170="2A",$C170="日職一軍",$C170="韓職一軍",$C170="KBO")),COUNT($L$3:L169)+1,"")</f>
        <v/>
      </c>
      <c r="M170" s="29" t="str">
        <f>IF(AND($D170&lt;&gt;"投手",$D170&lt;&gt;"",LEFT($F170,3)="YES",OR($C170="MLB",$C170="3A",$C170="2A",$C170="日職一軍",$C170="韓職一軍",$C170="KBO")),COUNT($M$3:M169)+1,"")</f>
        <v/>
      </c>
      <c r="N170" s="29" t="str">
        <f>IF(AND($D170="投手",$F170="YES",OR($C170="MLB",$C170="一軍",$C170="KBO",$C170="3A",$C170="2A")),COUNT($N$2:N169)+1,"")</f>
        <v/>
      </c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>
      <c r="A171" s="29"/>
      <c r="B171" s="29" t="str">
        <f>IFERROR(INDEX(總表!$B:$B,MATCH($A171,總表!$A:$A,0)),"")</f>
        <v/>
      </c>
      <c r="C171" s="29" t="str">
        <f>IFERROR(INDEX(總表!$G:$G,MATCH($A171,總表!$A:$A,0)),"")</f>
        <v/>
      </c>
      <c r="D171" s="29" t="str">
        <f>IFERROR(INDEX(總表!$C:$C,MATCH($A171,總表!$A:$A,0)),"")</f>
        <v/>
      </c>
      <c r="E171" s="29" t="str">
        <f>IFERROR(INDEX(總表!$F:$F,MATCH($A171,總表!$A:$A,0)),"")</f>
        <v/>
      </c>
      <c r="F171" s="29"/>
      <c r="G171" s="29"/>
      <c r="H171" s="29"/>
      <c r="I171" s="29">
        <f t="shared" si="6"/>
        <v>99</v>
      </c>
      <c r="J171" s="29">
        <f t="shared" si="4"/>
        <v>99</v>
      </c>
      <c r="K171" s="29">
        <f t="shared" si="5"/>
        <v>99</v>
      </c>
      <c r="L171" s="29" t="str">
        <f>IF(AND($D171="投手",LEFT($F171,3)="YES",OR($C171="MLB",$C171="3A",$C171="2A",$C171="日職一軍",$C171="韓職一軍",$C171="KBO")),COUNT($L$3:L170)+1,"")</f>
        <v/>
      </c>
      <c r="M171" s="29" t="str">
        <f>IF(AND($D171&lt;&gt;"投手",$D171&lt;&gt;"",LEFT($F171,3)="YES",OR($C171="MLB",$C171="3A",$C171="2A",$C171="日職一軍",$C171="韓職一軍",$C171="KBO")),COUNT($M$3:M170)+1,"")</f>
        <v/>
      </c>
      <c r="N171" s="29" t="str">
        <f>IF(AND($D171="投手",$F171="YES",OR($C171="MLB",$C171="一軍",$C171="KBO",$C171="3A",$C171="2A")),COUNT($N$2:N170)+1,"")</f>
        <v/>
      </c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>
      <c r="A172" s="29"/>
      <c r="B172" s="29" t="str">
        <f>IFERROR(INDEX(總表!$B:$B,MATCH($A172,總表!$A:$A,0)),"")</f>
        <v/>
      </c>
      <c r="C172" s="29" t="str">
        <f>IFERROR(INDEX(總表!$G:$G,MATCH($A172,總表!$A:$A,0)),"")</f>
        <v/>
      </c>
      <c r="D172" s="29" t="str">
        <f>IFERROR(INDEX(總表!$C:$C,MATCH($A172,總表!$A:$A,0)),"")</f>
        <v/>
      </c>
      <c r="E172" s="29" t="str">
        <f>IFERROR(INDEX(總表!$F:$F,MATCH($A172,總表!$A:$A,0)),"")</f>
        <v/>
      </c>
      <c r="F172" s="29"/>
      <c r="G172" s="29"/>
      <c r="H172" s="29"/>
      <c r="I172" s="29">
        <f t="shared" si="6"/>
        <v>99</v>
      </c>
      <c r="J172" s="29">
        <f t="shared" si="4"/>
        <v>99</v>
      </c>
      <c r="K172" s="29">
        <f t="shared" si="5"/>
        <v>99</v>
      </c>
      <c r="L172" s="29" t="str">
        <f>IF(AND($D172="投手",LEFT($F172,3)="YES",OR($C172="MLB",$C172="3A",$C172="2A",$C172="日職一軍",$C172="韓職一軍",$C172="KBO")),COUNT($L$3:L171)+1,"")</f>
        <v/>
      </c>
      <c r="M172" s="29" t="str">
        <f>IF(AND($D172&lt;&gt;"投手",$D172&lt;&gt;"",LEFT($F172,3)="YES",OR($C172="MLB",$C172="3A",$C172="2A",$C172="日職一軍",$C172="韓職一軍",$C172="KBO")),COUNT($M$3:M171)+1,"")</f>
        <v/>
      </c>
      <c r="N172" s="29" t="str">
        <f>IF(AND($D172="投手",$F172="YES",OR($C172="MLB",$C172="一軍",$C172="KBO",$C172="3A",$C172="2A")),COUNT($N$2:N171)+1,"")</f>
        <v/>
      </c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>
      <c r="A173" s="29"/>
      <c r="B173" s="29" t="str">
        <f>IFERROR(INDEX(總表!$B:$B,MATCH($A173,總表!$A:$A,0)),"")</f>
        <v/>
      </c>
      <c r="C173" s="29" t="str">
        <f>IFERROR(INDEX(總表!$G:$G,MATCH($A173,總表!$A:$A,0)),"")</f>
        <v/>
      </c>
      <c r="D173" s="29" t="str">
        <f>IFERROR(INDEX(總表!$C:$C,MATCH($A173,總表!$A:$A,0)),"")</f>
        <v/>
      </c>
      <c r="E173" s="29" t="str">
        <f>IFERROR(INDEX(總表!$F:$F,MATCH($A173,總表!$A:$A,0)),"")</f>
        <v/>
      </c>
      <c r="F173" s="29"/>
      <c r="G173" s="29"/>
      <c r="H173" s="29"/>
      <c r="I173" s="29">
        <f t="shared" si="6"/>
        <v>99</v>
      </c>
      <c r="J173" s="29">
        <f t="shared" ref="J173:J200" si="7">IF($B173="旅美",1,IF($B173="旅日",2,IF($B173="旅韓",3,IF($B173="台裔",4,IF($B173&lt;&gt;"",5,99)))))</f>
        <v>99</v>
      </c>
      <c r="K173" s="29">
        <f t="shared" ref="K173:K200" si="8">IF($C173="MLB",1,IF($C173="3A",2,IF($C173="2A",3,IF(OR($C173="A+",$C173="高A"),4,IF($C173="1A",5,IF(OR($C173="RK",$C173="Rookie"),6,IF($C173="日職一軍",7,IF($C173="日職二軍",8,IF(OR($C173="韓職一軍",$C173="KBO"),9,IF($C173&lt;&gt;"",10,99))))))))))</f>
        <v>99</v>
      </c>
      <c r="L173" s="29" t="str">
        <f>IF(AND($D173="投手",LEFT($F173,3)="YES",OR($C173="MLB",$C173="3A",$C173="2A",$C173="日職一軍",$C173="韓職一軍",$C173="KBO")),COUNT($L$3:L172)+1,"")</f>
        <v/>
      </c>
      <c r="M173" s="29" t="str">
        <f>IF(AND($D173&lt;&gt;"投手",$D173&lt;&gt;"",LEFT($F173,3)="YES",OR($C173="MLB",$C173="3A",$C173="2A",$C173="日職一軍",$C173="韓職一軍",$C173="KBO")),COUNT($M$3:M172)+1,"")</f>
        <v/>
      </c>
      <c r="N173" s="29" t="str">
        <f>IF(AND($D173="投手",$F173="YES",OR($C173="MLB",$C173="一軍",$C173="KBO",$C173="3A",$C173="2A")),COUNT($N$2:N172)+1,"")</f>
        <v/>
      </c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>
      <c r="A174" s="29"/>
      <c r="B174" s="29" t="str">
        <f>IFERROR(INDEX(總表!$B:$B,MATCH($A174,總表!$A:$A,0)),"")</f>
        <v/>
      </c>
      <c r="C174" s="29" t="str">
        <f>IFERROR(INDEX(總表!$G:$G,MATCH($A174,總表!$A:$A,0)),"")</f>
        <v/>
      </c>
      <c r="D174" s="29" t="str">
        <f>IFERROR(INDEX(總表!$C:$C,MATCH($A174,總表!$A:$A,0)),"")</f>
        <v/>
      </c>
      <c r="E174" s="29" t="str">
        <f>IFERROR(INDEX(總表!$F:$F,MATCH($A174,總表!$A:$A,0)),"")</f>
        <v/>
      </c>
      <c r="F174" s="29"/>
      <c r="G174" s="29"/>
      <c r="H174" s="29"/>
      <c r="I174" s="29">
        <f t="shared" si="6"/>
        <v>99</v>
      </c>
      <c r="J174" s="29">
        <f t="shared" si="7"/>
        <v>99</v>
      </c>
      <c r="K174" s="29">
        <f t="shared" si="8"/>
        <v>99</v>
      </c>
      <c r="L174" s="29" t="str">
        <f>IF(AND($D174="投手",LEFT($F174,3)="YES",OR($C174="MLB",$C174="3A",$C174="2A",$C174="日職一軍",$C174="韓職一軍",$C174="KBO")),COUNT($L$3:L173)+1,"")</f>
        <v/>
      </c>
      <c r="M174" s="29" t="str">
        <f>IF(AND($D174&lt;&gt;"投手",$D174&lt;&gt;"",LEFT($F174,3)="YES",OR($C174="MLB",$C174="3A",$C174="2A",$C174="日職一軍",$C174="韓職一軍",$C174="KBO")),COUNT($M$3:M173)+1,"")</f>
        <v/>
      </c>
      <c r="N174" s="29" t="str">
        <f>IF(AND($D174="投手",$F174="YES",OR($C174="MLB",$C174="一軍",$C174="KBO",$C174="3A",$C174="2A")),COUNT($N$2:N173)+1,"")</f>
        <v/>
      </c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>
      <c r="A175" s="29"/>
      <c r="B175" s="29" t="str">
        <f>IFERROR(INDEX(總表!$B:$B,MATCH($A175,總表!$A:$A,0)),"")</f>
        <v/>
      </c>
      <c r="C175" s="29" t="str">
        <f>IFERROR(INDEX(總表!$G:$G,MATCH($A175,總表!$A:$A,0)),"")</f>
        <v/>
      </c>
      <c r="D175" s="29" t="str">
        <f>IFERROR(INDEX(總表!$C:$C,MATCH($A175,總表!$A:$A,0)),"")</f>
        <v/>
      </c>
      <c r="E175" s="29" t="str">
        <f>IFERROR(INDEX(總表!$F:$F,MATCH($A175,總表!$A:$A,0)),"")</f>
        <v/>
      </c>
      <c r="F175" s="29"/>
      <c r="G175" s="29"/>
      <c r="H175" s="29"/>
      <c r="I175" s="29">
        <f t="shared" si="6"/>
        <v>99</v>
      </c>
      <c r="J175" s="29">
        <f t="shared" si="7"/>
        <v>99</v>
      </c>
      <c r="K175" s="29">
        <f t="shared" si="8"/>
        <v>99</v>
      </c>
      <c r="L175" s="29" t="str">
        <f>IF(AND($D175="投手",LEFT($F175,3)="YES",OR($C175="MLB",$C175="3A",$C175="2A",$C175="日職一軍",$C175="韓職一軍",$C175="KBO")),COUNT($L$3:L174)+1,"")</f>
        <v/>
      </c>
      <c r="M175" s="29" t="str">
        <f>IF(AND($D175&lt;&gt;"投手",$D175&lt;&gt;"",LEFT($F175,3)="YES",OR($C175="MLB",$C175="3A",$C175="2A",$C175="日職一軍",$C175="韓職一軍",$C175="KBO")),COUNT($M$3:M174)+1,"")</f>
        <v/>
      </c>
      <c r="N175" s="29" t="str">
        <f>IF(AND($D175="投手",$F175="YES",OR($C175="MLB",$C175="一軍",$C175="KBO",$C175="3A",$C175="2A")),COUNT($N$2:N174)+1,"")</f>
        <v/>
      </c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>
      <c r="A176" s="29"/>
      <c r="B176" s="29" t="str">
        <f>IFERROR(INDEX(總表!$B:$B,MATCH($A176,總表!$A:$A,0)),"")</f>
        <v/>
      </c>
      <c r="C176" s="29" t="str">
        <f>IFERROR(INDEX(總表!$G:$G,MATCH($A176,總表!$A:$A,0)),"")</f>
        <v/>
      </c>
      <c r="D176" s="29" t="str">
        <f>IFERROR(INDEX(總表!$C:$C,MATCH($A176,總表!$A:$A,0)),"")</f>
        <v/>
      </c>
      <c r="E176" s="29" t="str">
        <f>IFERROR(INDEX(總表!$F:$F,MATCH($A176,總表!$A:$A,0)),"")</f>
        <v/>
      </c>
      <c r="F176" s="29"/>
      <c r="G176" s="29"/>
      <c r="H176" s="29"/>
      <c r="I176" s="29">
        <f t="shared" si="6"/>
        <v>99</v>
      </c>
      <c r="J176" s="29">
        <f t="shared" si="7"/>
        <v>99</v>
      </c>
      <c r="K176" s="29">
        <f t="shared" si="8"/>
        <v>99</v>
      </c>
      <c r="L176" s="29" t="str">
        <f>IF(AND($D176="投手",LEFT($F176,3)="YES",OR($C176="MLB",$C176="3A",$C176="2A",$C176="日職一軍",$C176="韓職一軍",$C176="KBO")),COUNT($L$3:L175)+1,"")</f>
        <v/>
      </c>
      <c r="M176" s="29" t="str">
        <f>IF(AND($D176&lt;&gt;"投手",$D176&lt;&gt;"",LEFT($F176,3)="YES",OR($C176="MLB",$C176="3A",$C176="2A",$C176="日職一軍",$C176="韓職一軍",$C176="KBO")),COUNT($M$3:M175)+1,"")</f>
        <v/>
      </c>
      <c r="N176" s="29" t="str">
        <f>IF(AND($D176="投手",$F176="YES",OR($C176="MLB",$C176="一軍",$C176="KBO",$C176="3A",$C176="2A")),COUNT($N$2:N175)+1,"")</f>
        <v/>
      </c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>
      <c r="A177" s="29"/>
      <c r="B177" s="29" t="str">
        <f>IFERROR(INDEX(總表!$B:$B,MATCH($A177,總表!$A:$A,0)),"")</f>
        <v/>
      </c>
      <c r="C177" s="29" t="str">
        <f>IFERROR(INDEX(總表!$G:$G,MATCH($A177,總表!$A:$A,0)),"")</f>
        <v/>
      </c>
      <c r="D177" s="29" t="str">
        <f>IFERROR(INDEX(總表!$C:$C,MATCH($A177,總表!$A:$A,0)),"")</f>
        <v/>
      </c>
      <c r="E177" s="29" t="str">
        <f>IFERROR(INDEX(總表!$F:$F,MATCH($A177,總表!$A:$A,0)),"")</f>
        <v/>
      </c>
      <c r="F177" s="29"/>
      <c r="G177" s="29"/>
      <c r="H177" s="29"/>
      <c r="I177" s="29">
        <f t="shared" si="6"/>
        <v>99</v>
      </c>
      <c r="J177" s="29">
        <f t="shared" si="7"/>
        <v>99</v>
      </c>
      <c r="K177" s="29">
        <f t="shared" si="8"/>
        <v>99</v>
      </c>
      <c r="L177" s="29" t="str">
        <f>IF(AND($D177="投手",LEFT($F177,3)="YES",OR($C177="MLB",$C177="3A",$C177="2A",$C177="日職一軍",$C177="韓職一軍",$C177="KBO")),COUNT($L$3:L176)+1,"")</f>
        <v/>
      </c>
      <c r="M177" s="29" t="str">
        <f>IF(AND($D177&lt;&gt;"投手",$D177&lt;&gt;"",LEFT($F177,3)="YES",OR($C177="MLB",$C177="3A",$C177="2A",$C177="日職一軍",$C177="韓職一軍",$C177="KBO")),COUNT($M$3:M176)+1,"")</f>
        <v/>
      </c>
      <c r="N177" s="29" t="str">
        <f>IF(AND($D177="投手",$F177="YES",OR($C177="MLB",$C177="一軍",$C177="KBO",$C177="3A",$C177="2A")),COUNT($N$2:N176)+1,"")</f>
        <v/>
      </c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>
      <c r="A178" s="29"/>
      <c r="B178" s="29" t="str">
        <f>IFERROR(INDEX(總表!$B:$B,MATCH($A178,總表!$A:$A,0)),"")</f>
        <v/>
      </c>
      <c r="C178" s="29" t="str">
        <f>IFERROR(INDEX(總表!$G:$G,MATCH($A178,總表!$A:$A,0)),"")</f>
        <v/>
      </c>
      <c r="D178" s="29" t="str">
        <f>IFERROR(INDEX(總表!$C:$C,MATCH($A178,總表!$A:$A,0)),"")</f>
        <v/>
      </c>
      <c r="E178" s="29" t="str">
        <f>IFERROR(INDEX(總表!$F:$F,MATCH($A178,總表!$A:$A,0)),"")</f>
        <v/>
      </c>
      <c r="F178" s="29"/>
      <c r="G178" s="29"/>
      <c r="H178" s="29"/>
      <c r="I178" s="29">
        <f t="shared" si="6"/>
        <v>99</v>
      </c>
      <c r="J178" s="29">
        <f t="shared" si="7"/>
        <v>99</v>
      </c>
      <c r="K178" s="29">
        <f t="shared" si="8"/>
        <v>99</v>
      </c>
      <c r="L178" s="29" t="str">
        <f>IF(AND($D178="投手",LEFT($F178,3)="YES",OR($C178="MLB",$C178="3A",$C178="2A",$C178="日職一軍",$C178="韓職一軍",$C178="KBO")),COUNT($L$3:L177)+1,"")</f>
        <v/>
      </c>
      <c r="M178" s="29" t="str">
        <f>IF(AND($D178&lt;&gt;"投手",$D178&lt;&gt;"",LEFT($F178,3)="YES",OR($C178="MLB",$C178="3A",$C178="2A",$C178="日職一軍",$C178="韓職一軍",$C178="KBO")),COUNT($M$3:M177)+1,"")</f>
        <v/>
      </c>
      <c r="N178" s="29" t="str">
        <f>IF(AND($D178="投手",$F178="YES",OR($C178="MLB",$C178="一軍",$C178="KBO",$C178="3A",$C178="2A")),COUNT($N$2:N177)+1,"")</f>
        <v/>
      </c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>
      <c r="A179" s="29"/>
      <c r="B179" s="29" t="str">
        <f>IFERROR(INDEX(總表!$B:$B,MATCH($A179,總表!$A:$A,0)),"")</f>
        <v/>
      </c>
      <c r="C179" s="29" t="str">
        <f>IFERROR(INDEX(總表!$G:$G,MATCH($A179,總表!$A:$A,0)),"")</f>
        <v/>
      </c>
      <c r="D179" s="29" t="str">
        <f>IFERROR(INDEX(總表!$C:$C,MATCH($A179,總表!$A:$A,0)),"")</f>
        <v/>
      </c>
      <c r="E179" s="29" t="str">
        <f>IFERROR(INDEX(總表!$F:$F,MATCH($A179,總表!$A:$A,0)),"")</f>
        <v/>
      </c>
      <c r="F179" s="29"/>
      <c r="G179" s="29"/>
      <c r="H179" s="29"/>
      <c r="I179" s="29">
        <f t="shared" si="6"/>
        <v>99</v>
      </c>
      <c r="J179" s="29">
        <f t="shared" si="7"/>
        <v>99</v>
      </c>
      <c r="K179" s="29">
        <f t="shared" si="8"/>
        <v>99</v>
      </c>
      <c r="L179" s="29" t="str">
        <f>IF(AND($D179="投手",LEFT($F179,3)="YES",OR($C179="MLB",$C179="3A",$C179="2A",$C179="日職一軍",$C179="韓職一軍",$C179="KBO")),COUNT($L$3:L178)+1,"")</f>
        <v/>
      </c>
      <c r="M179" s="29" t="str">
        <f>IF(AND($D179&lt;&gt;"投手",$D179&lt;&gt;"",LEFT($F179,3)="YES",OR($C179="MLB",$C179="3A",$C179="2A",$C179="日職一軍",$C179="韓職一軍",$C179="KBO")),COUNT($M$3:M178)+1,"")</f>
        <v/>
      </c>
      <c r="N179" s="29" t="str">
        <f>IF(AND($D179="投手",$F179="YES",OR($C179="MLB",$C179="一軍",$C179="KBO",$C179="3A",$C179="2A")),COUNT($N$2:N178)+1,"")</f>
        <v/>
      </c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>
      <c r="A180" s="29"/>
      <c r="B180" s="29" t="str">
        <f>IFERROR(INDEX(總表!$B:$B,MATCH($A180,總表!$A:$A,0)),"")</f>
        <v/>
      </c>
      <c r="C180" s="29" t="str">
        <f>IFERROR(INDEX(總表!$G:$G,MATCH($A180,總表!$A:$A,0)),"")</f>
        <v/>
      </c>
      <c r="D180" s="29" t="str">
        <f>IFERROR(INDEX(總表!$C:$C,MATCH($A180,總表!$A:$A,0)),"")</f>
        <v/>
      </c>
      <c r="E180" s="29" t="str">
        <f>IFERROR(INDEX(總表!$F:$F,MATCH($A180,總表!$A:$A,0)),"")</f>
        <v/>
      </c>
      <c r="F180" s="29"/>
      <c r="G180" s="29"/>
      <c r="H180" s="29"/>
      <c r="I180" s="29">
        <f t="shared" si="6"/>
        <v>99</v>
      </c>
      <c r="J180" s="29">
        <f t="shared" si="7"/>
        <v>99</v>
      </c>
      <c r="K180" s="29">
        <f t="shared" si="8"/>
        <v>99</v>
      </c>
      <c r="L180" s="29" t="str">
        <f>IF(AND($D180="投手",LEFT($F180,3)="YES",OR($C180="MLB",$C180="3A",$C180="2A",$C180="日職一軍",$C180="韓職一軍",$C180="KBO")),COUNT($L$3:L179)+1,"")</f>
        <v/>
      </c>
      <c r="M180" s="29" t="str">
        <f>IF(AND($D180&lt;&gt;"投手",$D180&lt;&gt;"",LEFT($F180,3)="YES",OR($C180="MLB",$C180="3A",$C180="2A",$C180="日職一軍",$C180="韓職一軍",$C180="KBO")),COUNT($M$3:M179)+1,"")</f>
        <v/>
      </c>
      <c r="N180" s="29" t="str">
        <f>IF(AND($D180="投手",$F180="YES",OR($C180="MLB",$C180="一軍",$C180="KBO",$C180="3A",$C180="2A")),COUNT($N$2:N179)+1,"")</f>
        <v/>
      </c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>
      <c r="A181" s="29"/>
      <c r="B181" s="29" t="str">
        <f>IFERROR(INDEX(總表!$B:$B,MATCH($A181,總表!$A:$A,0)),"")</f>
        <v/>
      </c>
      <c r="C181" s="29" t="str">
        <f>IFERROR(INDEX(總表!$G:$G,MATCH($A181,總表!$A:$A,0)),"")</f>
        <v/>
      </c>
      <c r="D181" s="29" t="str">
        <f>IFERROR(INDEX(總表!$C:$C,MATCH($A181,總表!$A:$A,0)),"")</f>
        <v/>
      </c>
      <c r="E181" s="29" t="str">
        <f>IFERROR(INDEX(總表!$F:$F,MATCH($A181,總表!$A:$A,0)),"")</f>
        <v/>
      </c>
      <c r="F181" s="29"/>
      <c r="G181" s="29"/>
      <c r="H181" s="29"/>
      <c r="I181" s="29">
        <f t="shared" si="6"/>
        <v>99</v>
      </c>
      <c r="J181" s="29">
        <f t="shared" si="7"/>
        <v>99</v>
      </c>
      <c r="K181" s="29">
        <f t="shared" si="8"/>
        <v>99</v>
      </c>
      <c r="L181" s="29" t="str">
        <f>IF(AND($D181="投手",LEFT($F181,3)="YES",OR($C181="MLB",$C181="3A",$C181="2A",$C181="日職一軍",$C181="韓職一軍",$C181="KBO")),COUNT($L$3:L180)+1,"")</f>
        <v/>
      </c>
      <c r="M181" s="29" t="str">
        <f>IF(AND($D181&lt;&gt;"投手",$D181&lt;&gt;"",LEFT($F181,3)="YES",OR($C181="MLB",$C181="3A",$C181="2A",$C181="日職一軍",$C181="韓職一軍",$C181="KBO")),COUNT($M$3:M180)+1,"")</f>
        <v/>
      </c>
      <c r="N181" s="29" t="str">
        <f>IF(AND($D181="投手",$F181="YES",OR($C181="MLB",$C181="一軍",$C181="KBO",$C181="3A",$C181="2A")),COUNT($N$2:N180)+1,"")</f>
        <v/>
      </c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>
      <c r="A182" s="29"/>
      <c r="B182" s="29" t="str">
        <f>IFERROR(INDEX(總表!$B:$B,MATCH($A182,總表!$A:$A,0)),"")</f>
        <v/>
      </c>
      <c r="C182" s="29" t="str">
        <f>IFERROR(INDEX(總表!$G:$G,MATCH($A182,總表!$A:$A,0)),"")</f>
        <v/>
      </c>
      <c r="D182" s="29" t="str">
        <f>IFERROR(INDEX(總表!$C:$C,MATCH($A182,總表!$A:$A,0)),"")</f>
        <v/>
      </c>
      <c r="E182" s="29" t="str">
        <f>IFERROR(INDEX(總表!$F:$F,MATCH($A182,總表!$A:$A,0)),"")</f>
        <v/>
      </c>
      <c r="F182" s="29"/>
      <c r="G182" s="29"/>
      <c r="H182" s="29"/>
      <c r="I182" s="29">
        <f t="shared" si="6"/>
        <v>99</v>
      </c>
      <c r="J182" s="29">
        <f t="shared" si="7"/>
        <v>99</v>
      </c>
      <c r="K182" s="29">
        <f t="shared" si="8"/>
        <v>99</v>
      </c>
      <c r="L182" s="29" t="str">
        <f>IF(AND($D182="投手",LEFT($F182,3)="YES",OR($C182="MLB",$C182="3A",$C182="2A",$C182="日職一軍",$C182="韓職一軍",$C182="KBO")),COUNT($L$3:L181)+1,"")</f>
        <v/>
      </c>
      <c r="M182" s="29" t="str">
        <f>IF(AND($D182&lt;&gt;"投手",$D182&lt;&gt;"",LEFT($F182,3)="YES",OR($C182="MLB",$C182="3A",$C182="2A",$C182="日職一軍",$C182="韓職一軍",$C182="KBO")),COUNT($M$3:M181)+1,"")</f>
        <v/>
      </c>
      <c r="N182" s="29" t="str">
        <f>IF(AND($D182="投手",$F182="YES",OR($C182="MLB",$C182="一軍",$C182="KBO",$C182="3A",$C182="2A")),COUNT($N$2:N181)+1,"")</f>
        <v/>
      </c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>
      <c r="A183" s="29"/>
      <c r="B183" s="29" t="str">
        <f>IFERROR(INDEX(總表!$B:$B,MATCH($A183,總表!$A:$A,0)),"")</f>
        <v/>
      </c>
      <c r="C183" s="29" t="str">
        <f>IFERROR(INDEX(總表!$G:$G,MATCH($A183,總表!$A:$A,0)),"")</f>
        <v/>
      </c>
      <c r="D183" s="29" t="str">
        <f>IFERROR(INDEX(總表!$C:$C,MATCH($A183,總表!$A:$A,0)),"")</f>
        <v/>
      </c>
      <c r="E183" s="29" t="str">
        <f>IFERROR(INDEX(總表!$F:$F,MATCH($A183,總表!$A:$A,0)),"")</f>
        <v/>
      </c>
      <c r="F183" s="29"/>
      <c r="G183" s="29"/>
      <c r="H183" s="29"/>
      <c r="I183" s="29">
        <f t="shared" si="6"/>
        <v>99</v>
      </c>
      <c r="J183" s="29">
        <f t="shared" si="7"/>
        <v>99</v>
      </c>
      <c r="K183" s="29">
        <f t="shared" si="8"/>
        <v>99</v>
      </c>
      <c r="L183" s="29" t="str">
        <f>IF(AND($D183="投手",LEFT($F183,3)="YES",OR($C183="MLB",$C183="3A",$C183="2A",$C183="日職一軍",$C183="韓職一軍",$C183="KBO")),COUNT($L$3:L182)+1,"")</f>
        <v/>
      </c>
      <c r="M183" s="29" t="str">
        <f>IF(AND($D183&lt;&gt;"投手",$D183&lt;&gt;"",LEFT($F183,3)="YES",OR($C183="MLB",$C183="3A",$C183="2A",$C183="日職一軍",$C183="韓職一軍",$C183="KBO")),COUNT($M$3:M182)+1,"")</f>
        <v/>
      </c>
      <c r="N183" s="29" t="str">
        <f>IF(AND($D183="投手",$F183="YES",OR($C183="MLB",$C183="一軍",$C183="KBO",$C183="3A",$C183="2A")),COUNT($N$2:N182)+1,"")</f>
        <v/>
      </c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>
      <c r="A184" s="29"/>
      <c r="B184" s="29" t="str">
        <f>IFERROR(INDEX(總表!$B:$B,MATCH($A184,總表!$A:$A,0)),"")</f>
        <v/>
      </c>
      <c r="C184" s="29" t="str">
        <f>IFERROR(INDEX(總表!$G:$G,MATCH($A184,總表!$A:$A,0)),"")</f>
        <v/>
      </c>
      <c r="D184" s="29" t="str">
        <f>IFERROR(INDEX(總表!$C:$C,MATCH($A184,總表!$A:$A,0)),"")</f>
        <v/>
      </c>
      <c r="E184" s="29" t="str">
        <f>IFERROR(INDEX(總表!$F:$F,MATCH($A184,總表!$A:$A,0)),"")</f>
        <v/>
      </c>
      <c r="F184" s="29"/>
      <c r="G184" s="29"/>
      <c r="H184" s="29"/>
      <c r="I184" s="29">
        <f t="shared" si="6"/>
        <v>99</v>
      </c>
      <c r="J184" s="29">
        <f t="shared" si="7"/>
        <v>99</v>
      </c>
      <c r="K184" s="29">
        <f t="shared" si="8"/>
        <v>99</v>
      </c>
      <c r="L184" s="29" t="str">
        <f>IF(AND($D184="投手",LEFT($F184,3)="YES",OR($C184="MLB",$C184="3A",$C184="2A",$C184="日職一軍",$C184="韓職一軍",$C184="KBO")),COUNT($L$3:L183)+1,"")</f>
        <v/>
      </c>
      <c r="M184" s="29" t="str">
        <f>IF(AND($D184&lt;&gt;"投手",$D184&lt;&gt;"",LEFT($F184,3)="YES",OR($C184="MLB",$C184="3A",$C184="2A",$C184="日職一軍",$C184="韓職一軍",$C184="KBO")),COUNT($M$3:M183)+1,"")</f>
        <v/>
      </c>
      <c r="N184" s="29" t="str">
        <f>IF(AND($D184="投手",$F184="YES",OR($C184="MLB",$C184="一軍",$C184="KBO",$C184="3A",$C184="2A")),COUNT($N$2:N183)+1,"")</f>
        <v/>
      </c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>
      <c r="A185" s="29"/>
      <c r="B185" s="29" t="str">
        <f>IFERROR(INDEX(總表!$B:$B,MATCH($A185,總表!$A:$A,0)),"")</f>
        <v/>
      </c>
      <c r="C185" s="29" t="str">
        <f>IFERROR(INDEX(總表!$G:$G,MATCH($A185,總表!$A:$A,0)),"")</f>
        <v/>
      </c>
      <c r="D185" s="29" t="str">
        <f>IFERROR(INDEX(總表!$C:$C,MATCH($A185,總表!$A:$A,0)),"")</f>
        <v/>
      </c>
      <c r="E185" s="29" t="str">
        <f>IFERROR(INDEX(總表!$F:$F,MATCH($A185,總表!$A:$A,0)),"")</f>
        <v/>
      </c>
      <c r="F185" s="29"/>
      <c r="G185" s="29"/>
      <c r="H185" s="29"/>
      <c r="I185" s="29">
        <f t="shared" si="6"/>
        <v>99</v>
      </c>
      <c r="J185" s="29">
        <f t="shared" si="7"/>
        <v>99</v>
      </c>
      <c r="K185" s="29">
        <f t="shared" si="8"/>
        <v>99</v>
      </c>
      <c r="L185" s="29" t="str">
        <f>IF(AND($D185="投手",LEFT($F185,3)="YES",OR($C185="MLB",$C185="3A",$C185="2A",$C185="日職一軍",$C185="韓職一軍",$C185="KBO")),COUNT($L$3:L184)+1,"")</f>
        <v/>
      </c>
      <c r="M185" s="29" t="str">
        <f>IF(AND($D185&lt;&gt;"投手",$D185&lt;&gt;"",LEFT($F185,3)="YES",OR($C185="MLB",$C185="3A",$C185="2A",$C185="日職一軍",$C185="韓職一軍",$C185="KBO")),COUNT($M$3:M184)+1,"")</f>
        <v/>
      </c>
      <c r="N185" s="29" t="str">
        <f>IF(AND($D185="投手",$F185="YES",OR($C185="MLB",$C185="一軍",$C185="KBO",$C185="3A",$C185="2A")),COUNT($N$2:N184)+1,"")</f>
        <v/>
      </c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>
      <c r="A186" s="29"/>
      <c r="B186" s="29" t="str">
        <f>IFERROR(INDEX(總表!$B:$B,MATCH($A186,總表!$A:$A,0)),"")</f>
        <v/>
      </c>
      <c r="C186" s="29" t="str">
        <f>IFERROR(INDEX(總表!$G:$G,MATCH($A186,總表!$A:$A,0)),"")</f>
        <v/>
      </c>
      <c r="D186" s="29" t="str">
        <f>IFERROR(INDEX(總表!$C:$C,MATCH($A186,總表!$A:$A,0)),"")</f>
        <v/>
      </c>
      <c r="E186" s="29" t="str">
        <f>IFERROR(INDEX(總表!$F:$F,MATCH($A186,總表!$A:$A,0)),"")</f>
        <v/>
      </c>
      <c r="F186" s="29"/>
      <c r="G186" s="29"/>
      <c r="H186" s="29"/>
      <c r="I186" s="29">
        <f t="shared" si="6"/>
        <v>99</v>
      </c>
      <c r="J186" s="29">
        <f t="shared" si="7"/>
        <v>99</v>
      </c>
      <c r="K186" s="29">
        <f t="shared" si="8"/>
        <v>99</v>
      </c>
      <c r="L186" s="29" t="str">
        <f>IF(AND($D186="投手",LEFT($F186,3)="YES",OR($C186="MLB",$C186="3A",$C186="2A",$C186="日職一軍",$C186="韓職一軍",$C186="KBO")),COUNT($L$3:L185)+1,"")</f>
        <v/>
      </c>
      <c r="M186" s="29" t="str">
        <f>IF(AND($D186&lt;&gt;"投手",$D186&lt;&gt;"",LEFT($F186,3)="YES",OR($C186="MLB",$C186="3A",$C186="2A",$C186="日職一軍",$C186="韓職一軍",$C186="KBO")),COUNT($M$3:M185)+1,"")</f>
        <v/>
      </c>
      <c r="N186" s="29" t="str">
        <f>IF(AND($D186="投手",$F186="YES",OR($C186="MLB",$C186="一軍",$C186="KBO",$C186="3A",$C186="2A")),COUNT($N$2:N185)+1,"")</f>
        <v/>
      </c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>
      <c r="A187" s="29"/>
      <c r="B187" s="29" t="str">
        <f>IFERROR(INDEX(總表!$B:$B,MATCH($A187,總表!$A:$A,0)),"")</f>
        <v/>
      </c>
      <c r="C187" s="29" t="str">
        <f>IFERROR(INDEX(總表!$G:$G,MATCH($A187,總表!$A:$A,0)),"")</f>
        <v/>
      </c>
      <c r="D187" s="29" t="str">
        <f>IFERROR(INDEX(總表!$C:$C,MATCH($A187,總表!$A:$A,0)),"")</f>
        <v/>
      </c>
      <c r="E187" s="29" t="str">
        <f>IFERROR(INDEX(總表!$F:$F,MATCH($A187,總表!$A:$A,0)),"")</f>
        <v/>
      </c>
      <c r="F187" s="29"/>
      <c r="G187" s="29"/>
      <c r="H187" s="29"/>
      <c r="I187" s="29">
        <f t="shared" si="6"/>
        <v>99</v>
      </c>
      <c r="J187" s="29">
        <f t="shared" si="7"/>
        <v>99</v>
      </c>
      <c r="K187" s="29">
        <f t="shared" si="8"/>
        <v>99</v>
      </c>
      <c r="L187" s="29" t="str">
        <f>IF(AND($D187="投手",LEFT($F187,3)="YES",OR($C187="MLB",$C187="3A",$C187="2A",$C187="日職一軍",$C187="韓職一軍",$C187="KBO")),COUNT($L$3:L186)+1,"")</f>
        <v/>
      </c>
      <c r="M187" s="29" t="str">
        <f>IF(AND($D187&lt;&gt;"投手",$D187&lt;&gt;"",LEFT($F187,3)="YES",OR($C187="MLB",$C187="3A",$C187="2A",$C187="日職一軍",$C187="韓職一軍",$C187="KBO")),COUNT($M$3:M186)+1,"")</f>
        <v/>
      </c>
      <c r="N187" s="29" t="str">
        <f>IF(AND($D187="投手",$F187="YES",OR($C187="MLB",$C187="一軍",$C187="KBO",$C187="3A",$C187="2A")),COUNT($N$2:N186)+1,"")</f>
        <v/>
      </c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>
      <c r="A188" s="29"/>
      <c r="B188" s="29" t="str">
        <f>IFERROR(INDEX(總表!$B:$B,MATCH($A188,總表!$A:$A,0)),"")</f>
        <v/>
      </c>
      <c r="C188" s="29" t="str">
        <f>IFERROR(INDEX(總表!$G:$G,MATCH($A188,總表!$A:$A,0)),"")</f>
        <v/>
      </c>
      <c r="D188" s="29" t="str">
        <f>IFERROR(INDEX(總表!$C:$C,MATCH($A188,總表!$A:$A,0)),"")</f>
        <v/>
      </c>
      <c r="E188" s="29" t="str">
        <f>IFERROR(INDEX(總表!$F:$F,MATCH($A188,總表!$A:$A,0)),"")</f>
        <v/>
      </c>
      <c r="F188" s="29"/>
      <c r="G188" s="29"/>
      <c r="H188" s="29"/>
      <c r="I188" s="29">
        <f t="shared" si="6"/>
        <v>99</v>
      </c>
      <c r="J188" s="29">
        <f t="shared" si="7"/>
        <v>99</v>
      </c>
      <c r="K188" s="29">
        <f t="shared" si="8"/>
        <v>99</v>
      </c>
      <c r="L188" s="29" t="str">
        <f>IF(AND($D188="投手",LEFT($F188,3)="YES",OR($C188="MLB",$C188="3A",$C188="2A",$C188="日職一軍",$C188="韓職一軍",$C188="KBO")),COUNT($L$3:L187)+1,"")</f>
        <v/>
      </c>
      <c r="M188" s="29" t="str">
        <f>IF(AND($D188&lt;&gt;"投手",$D188&lt;&gt;"",LEFT($F188,3)="YES",OR($C188="MLB",$C188="3A",$C188="2A",$C188="日職一軍",$C188="韓職一軍",$C188="KBO")),COUNT($M$3:M187)+1,"")</f>
        <v/>
      </c>
      <c r="N188" s="29" t="str">
        <f>IF(AND($D188="投手",$F188="YES",OR($C188="MLB",$C188="一軍",$C188="KBO",$C188="3A",$C188="2A")),COUNT($N$2:N187)+1,"")</f>
        <v/>
      </c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>
      <c r="A189" s="29"/>
      <c r="B189" s="29" t="str">
        <f>IFERROR(INDEX(總表!$B:$B,MATCH($A189,總表!$A:$A,0)),"")</f>
        <v/>
      </c>
      <c r="C189" s="29" t="str">
        <f>IFERROR(INDEX(總表!$G:$G,MATCH($A189,總表!$A:$A,0)),"")</f>
        <v/>
      </c>
      <c r="D189" s="29" t="str">
        <f>IFERROR(INDEX(總表!$C:$C,MATCH($A189,總表!$A:$A,0)),"")</f>
        <v/>
      </c>
      <c r="E189" s="29" t="str">
        <f>IFERROR(INDEX(總表!$F:$F,MATCH($A189,總表!$A:$A,0)),"")</f>
        <v/>
      </c>
      <c r="F189" s="29"/>
      <c r="G189" s="29"/>
      <c r="H189" s="29"/>
      <c r="I189" s="29">
        <f t="shared" si="6"/>
        <v>99</v>
      </c>
      <c r="J189" s="29">
        <f t="shared" si="7"/>
        <v>99</v>
      </c>
      <c r="K189" s="29">
        <f t="shared" si="8"/>
        <v>99</v>
      </c>
      <c r="L189" s="29" t="str">
        <f>IF(AND($D189="投手",LEFT($F189,3)="YES",OR($C189="MLB",$C189="3A",$C189="2A",$C189="日職一軍",$C189="韓職一軍",$C189="KBO")),COUNT($L$3:L188)+1,"")</f>
        <v/>
      </c>
      <c r="M189" s="29" t="str">
        <f>IF(AND($D189&lt;&gt;"投手",$D189&lt;&gt;"",LEFT($F189,3)="YES",OR($C189="MLB",$C189="3A",$C189="2A",$C189="日職一軍",$C189="韓職一軍",$C189="KBO")),COUNT($M$3:M188)+1,"")</f>
        <v/>
      </c>
      <c r="N189" s="29" t="str">
        <f>IF(AND($D189="投手",$F189="YES",OR($C189="MLB",$C189="一軍",$C189="KBO",$C189="3A",$C189="2A")),COUNT($N$2:N188)+1,"")</f>
        <v/>
      </c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>
      <c r="A190" s="29"/>
      <c r="B190" s="29" t="str">
        <f>IFERROR(INDEX(總表!$B:$B,MATCH($A190,總表!$A:$A,0)),"")</f>
        <v/>
      </c>
      <c r="C190" s="29" t="str">
        <f>IFERROR(INDEX(總表!$G:$G,MATCH($A190,總表!$A:$A,0)),"")</f>
        <v/>
      </c>
      <c r="D190" s="29" t="str">
        <f>IFERROR(INDEX(總表!$C:$C,MATCH($A190,總表!$A:$A,0)),"")</f>
        <v/>
      </c>
      <c r="E190" s="29" t="str">
        <f>IFERROR(INDEX(總表!$F:$F,MATCH($A190,總表!$A:$A,0)),"")</f>
        <v/>
      </c>
      <c r="F190" s="29"/>
      <c r="G190" s="29"/>
      <c r="H190" s="29"/>
      <c r="I190" s="29">
        <f t="shared" si="6"/>
        <v>99</v>
      </c>
      <c r="J190" s="29">
        <f t="shared" si="7"/>
        <v>99</v>
      </c>
      <c r="K190" s="29">
        <f t="shared" si="8"/>
        <v>99</v>
      </c>
      <c r="L190" s="29" t="str">
        <f>IF(AND($D190="投手",LEFT($F190,3)="YES",OR($C190="MLB",$C190="3A",$C190="2A",$C190="日職一軍",$C190="韓職一軍",$C190="KBO")),COUNT($L$3:L189)+1,"")</f>
        <v/>
      </c>
      <c r="M190" s="29" t="str">
        <f>IF(AND($D190&lt;&gt;"投手",$D190&lt;&gt;"",LEFT($F190,3)="YES",OR($C190="MLB",$C190="3A",$C190="2A",$C190="日職一軍",$C190="韓職一軍",$C190="KBO")),COUNT($M$3:M189)+1,"")</f>
        <v/>
      </c>
      <c r="N190" s="29" t="str">
        <f>IF(AND($D190="投手",$F190="YES",OR($C190="MLB",$C190="一軍",$C190="KBO",$C190="3A",$C190="2A")),COUNT($N$2:N189)+1,"")</f>
        <v/>
      </c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>
      <c r="A191" s="29"/>
      <c r="B191" s="29" t="str">
        <f>IFERROR(INDEX(總表!$B:$B,MATCH($A191,總表!$A:$A,0)),"")</f>
        <v/>
      </c>
      <c r="C191" s="29" t="str">
        <f>IFERROR(INDEX(總表!$G:$G,MATCH($A191,總表!$A:$A,0)),"")</f>
        <v/>
      </c>
      <c r="D191" s="29" t="str">
        <f>IFERROR(INDEX(總表!$C:$C,MATCH($A191,總表!$A:$A,0)),"")</f>
        <v/>
      </c>
      <c r="E191" s="29" t="str">
        <f>IFERROR(INDEX(總表!$F:$F,MATCH($A191,總表!$A:$A,0)),"")</f>
        <v/>
      </c>
      <c r="F191" s="29"/>
      <c r="G191" s="29"/>
      <c r="H191" s="29"/>
      <c r="I191" s="29">
        <f t="shared" si="6"/>
        <v>99</v>
      </c>
      <c r="J191" s="29">
        <f t="shared" si="7"/>
        <v>99</v>
      </c>
      <c r="K191" s="29">
        <f t="shared" si="8"/>
        <v>99</v>
      </c>
      <c r="L191" s="29" t="str">
        <f>IF(AND($D191="投手",LEFT($F191,3)="YES",OR($C191="MLB",$C191="3A",$C191="2A",$C191="日職一軍",$C191="韓職一軍",$C191="KBO")),COUNT($L$3:L190)+1,"")</f>
        <v/>
      </c>
      <c r="M191" s="29" t="str">
        <f>IF(AND($D191&lt;&gt;"投手",$D191&lt;&gt;"",LEFT($F191,3)="YES",OR($C191="MLB",$C191="3A",$C191="2A",$C191="日職一軍",$C191="韓職一軍",$C191="KBO")),COUNT($M$3:M190)+1,"")</f>
        <v/>
      </c>
      <c r="N191" s="29" t="str">
        <f>IF(AND($D191="投手",$F191="YES",OR($C191="MLB",$C191="一軍",$C191="KBO",$C191="3A",$C191="2A")),COUNT($N$2:N190)+1,"")</f>
        <v/>
      </c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>
      <c r="A192" s="29"/>
      <c r="B192" s="29" t="str">
        <f>IFERROR(INDEX(總表!$B:$B,MATCH($A192,總表!$A:$A,0)),"")</f>
        <v/>
      </c>
      <c r="C192" s="29" t="str">
        <f>IFERROR(INDEX(總表!$G:$G,MATCH($A192,總表!$A:$A,0)),"")</f>
        <v/>
      </c>
      <c r="D192" s="29" t="str">
        <f>IFERROR(INDEX(總表!$C:$C,MATCH($A192,總表!$A:$A,0)),"")</f>
        <v/>
      </c>
      <c r="E192" s="29" t="str">
        <f>IFERROR(INDEX(總表!$F:$F,MATCH($A192,總表!$A:$A,0)),"")</f>
        <v/>
      </c>
      <c r="F192" s="29"/>
      <c r="G192" s="29"/>
      <c r="H192" s="29"/>
      <c r="I192" s="29">
        <f t="shared" si="6"/>
        <v>99</v>
      </c>
      <c r="J192" s="29">
        <f t="shared" si="7"/>
        <v>99</v>
      </c>
      <c r="K192" s="29">
        <f t="shared" si="8"/>
        <v>99</v>
      </c>
      <c r="L192" s="29" t="str">
        <f>IF(AND($D192="投手",LEFT($F192,3)="YES",OR($C192="MLB",$C192="3A",$C192="2A",$C192="日職一軍",$C192="韓職一軍",$C192="KBO")),COUNT($L$3:L191)+1,"")</f>
        <v/>
      </c>
      <c r="M192" s="29" t="str">
        <f>IF(AND($D192&lt;&gt;"投手",$D192&lt;&gt;"",LEFT($F192,3)="YES",OR($C192="MLB",$C192="3A",$C192="2A",$C192="日職一軍",$C192="韓職一軍",$C192="KBO")),COUNT($M$3:M191)+1,"")</f>
        <v/>
      </c>
      <c r="N192" s="29" t="str">
        <f>IF(AND($D192="投手",$F192="YES",OR($C192="MLB",$C192="一軍",$C192="KBO",$C192="3A",$C192="2A")),COUNT($N$2:N191)+1,"")</f>
        <v/>
      </c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>
      <c r="A193" s="29"/>
      <c r="B193" s="29" t="str">
        <f>IFERROR(INDEX(總表!$B:$B,MATCH($A193,總表!$A:$A,0)),"")</f>
        <v/>
      </c>
      <c r="C193" s="29" t="str">
        <f>IFERROR(INDEX(總表!$G:$G,MATCH($A193,總表!$A:$A,0)),"")</f>
        <v/>
      </c>
      <c r="D193" s="29" t="str">
        <f>IFERROR(INDEX(總表!$C:$C,MATCH($A193,總表!$A:$A,0)),"")</f>
        <v/>
      </c>
      <c r="E193" s="29" t="str">
        <f>IFERROR(INDEX(總表!$F:$F,MATCH($A193,總表!$A:$A,0)),"")</f>
        <v/>
      </c>
      <c r="F193" s="29"/>
      <c r="G193" s="29"/>
      <c r="H193" s="29"/>
      <c r="I193" s="29">
        <f t="shared" si="6"/>
        <v>99</v>
      </c>
      <c r="J193" s="29">
        <f t="shared" si="7"/>
        <v>99</v>
      </c>
      <c r="K193" s="29">
        <f t="shared" si="8"/>
        <v>99</v>
      </c>
      <c r="L193" s="29" t="str">
        <f>IF(AND($D193="投手",LEFT($F193,3)="YES",OR($C193="MLB",$C193="3A",$C193="2A",$C193="日職一軍",$C193="韓職一軍",$C193="KBO")),COUNT($L$3:L192)+1,"")</f>
        <v/>
      </c>
      <c r="M193" s="29" t="str">
        <f>IF(AND($D193&lt;&gt;"投手",$D193&lt;&gt;"",LEFT($F193,3)="YES",OR($C193="MLB",$C193="3A",$C193="2A",$C193="日職一軍",$C193="韓職一軍",$C193="KBO")),COUNT($M$3:M192)+1,"")</f>
        <v/>
      </c>
      <c r="N193" s="29" t="str">
        <f>IF(AND($D193="投手",$F193="YES",OR($C193="MLB",$C193="一軍",$C193="KBO",$C193="3A",$C193="2A")),COUNT($N$2:N192)+1,"")</f>
        <v/>
      </c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>
      <c r="A194" s="29"/>
      <c r="B194" s="29" t="str">
        <f>IFERROR(INDEX(總表!$B:$B,MATCH($A194,總表!$A:$A,0)),"")</f>
        <v/>
      </c>
      <c r="C194" s="29" t="str">
        <f>IFERROR(INDEX(總表!$G:$G,MATCH($A194,總表!$A:$A,0)),"")</f>
        <v/>
      </c>
      <c r="D194" s="29" t="str">
        <f>IFERROR(INDEX(總表!$C:$C,MATCH($A194,總表!$A:$A,0)),"")</f>
        <v/>
      </c>
      <c r="E194" s="29" t="str">
        <f>IFERROR(INDEX(總表!$F:$F,MATCH($A194,總表!$A:$A,0)),"")</f>
        <v/>
      </c>
      <c r="F194" s="29"/>
      <c r="G194" s="29"/>
      <c r="H194" s="29"/>
      <c r="I194" s="29">
        <f t="shared" si="6"/>
        <v>99</v>
      </c>
      <c r="J194" s="29">
        <f t="shared" si="7"/>
        <v>99</v>
      </c>
      <c r="K194" s="29">
        <f t="shared" si="8"/>
        <v>99</v>
      </c>
      <c r="L194" s="29" t="str">
        <f>IF(AND($D194="投手",LEFT($F194,3)="YES",OR($C194="MLB",$C194="3A",$C194="2A",$C194="日職一軍",$C194="韓職一軍",$C194="KBO")),COUNT($L$3:L193)+1,"")</f>
        <v/>
      </c>
      <c r="M194" s="29" t="str">
        <f>IF(AND($D194&lt;&gt;"投手",$D194&lt;&gt;"",LEFT($F194,3)="YES",OR($C194="MLB",$C194="3A",$C194="2A",$C194="日職一軍",$C194="韓職一軍",$C194="KBO")),COUNT($M$3:M193)+1,"")</f>
        <v/>
      </c>
      <c r="N194" s="29" t="str">
        <f>IF(AND($D194="投手",$F194="YES",OR($C194="MLB",$C194="一軍",$C194="KBO",$C194="3A",$C194="2A")),COUNT($N$2:N193)+1,"")</f>
        <v/>
      </c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>
      <c r="A195" s="29"/>
      <c r="B195" s="29" t="str">
        <f>IFERROR(INDEX(總表!$B:$B,MATCH($A195,總表!$A:$A,0)),"")</f>
        <v/>
      </c>
      <c r="C195" s="29" t="str">
        <f>IFERROR(INDEX(總表!$G:$G,MATCH($A195,總表!$A:$A,0)),"")</f>
        <v/>
      </c>
      <c r="D195" s="29" t="str">
        <f>IFERROR(INDEX(總表!$C:$C,MATCH($A195,總表!$A:$A,0)),"")</f>
        <v/>
      </c>
      <c r="E195" s="29" t="str">
        <f>IFERROR(INDEX(總表!$F:$F,MATCH($A195,總表!$A:$A,0)),"")</f>
        <v/>
      </c>
      <c r="F195" s="29"/>
      <c r="G195" s="29"/>
      <c r="H195" s="29"/>
      <c r="I195" s="29">
        <f t="shared" ref="I195:I200" si="9">IF($A195="投手",1,IF($D195="投手",2,IF($A195="野手",3,IF(OR($D195="野手",$D195="內野手",$D195="外野手",$D195="捕手"),4,99))))</f>
        <v>99</v>
      </c>
      <c r="J195" s="29">
        <f t="shared" si="7"/>
        <v>99</v>
      </c>
      <c r="K195" s="29">
        <f t="shared" si="8"/>
        <v>99</v>
      </c>
      <c r="L195" s="29" t="str">
        <f>IF(AND($D195="投手",LEFT($F195,3)="YES",OR($C195="MLB",$C195="3A",$C195="2A",$C195="日職一軍",$C195="韓職一軍",$C195="KBO")),COUNT($L$3:L194)+1,"")</f>
        <v/>
      </c>
      <c r="M195" s="29" t="str">
        <f>IF(AND($D195&lt;&gt;"投手",$D195&lt;&gt;"",LEFT($F195,3)="YES",OR($C195="MLB",$C195="3A",$C195="2A",$C195="日職一軍",$C195="韓職一軍",$C195="KBO")),COUNT($M$3:M194)+1,"")</f>
        <v/>
      </c>
      <c r="N195" s="29" t="str">
        <f>IF(AND($D195="投手",$F195="YES",OR($C195="MLB",$C195="一軍",$C195="KBO",$C195="3A",$C195="2A")),COUNT($N$2:N194)+1,"")</f>
        <v/>
      </c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>
      <c r="A196" s="29"/>
      <c r="B196" s="29" t="str">
        <f>IFERROR(INDEX(總表!$B:$B,MATCH($A196,總表!$A:$A,0)),"")</f>
        <v/>
      </c>
      <c r="C196" s="29" t="str">
        <f>IFERROR(INDEX(總表!$G:$G,MATCH($A196,總表!$A:$A,0)),"")</f>
        <v/>
      </c>
      <c r="D196" s="29" t="str">
        <f>IFERROR(INDEX(總表!$C:$C,MATCH($A196,總表!$A:$A,0)),"")</f>
        <v/>
      </c>
      <c r="E196" s="29" t="str">
        <f>IFERROR(INDEX(總表!$F:$F,MATCH($A196,總表!$A:$A,0)),"")</f>
        <v/>
      </c>
      <c r="F196" s="29"/>
      <c r="G196" s="29"/>
      <c r="H196" s="29"/>
      <c r="I196" s="29">
        <f t="shared" si="9"/>
        <v>99</v>
      </c>
      <c r="J196" s="29">
        <f t="shared" si="7"/>
        <v>99</v>
      </c>
      <c r="K196" s="29">
        <f t="shared" si="8"/>
        <v>99</v>
      </c>
      <c r="L196" s="29" t="str">
        <f>IF(AND($D196="投手",LEFT($F196,3)="YES",OR($C196="MLB",$C196="3A",$C196="2A",$C196="日職一軍",$C196="韓職一軍",$C196="KBO")),COUNT($L$3:L195)+1,"")</f>
        <v/>
      </c>
      <c r="M196" s="29" t="str">
        <f>IF(AND($D196&lt;&gt;"投手",$D196&lt;&gt;"",LEFT($F196,3)="YES",OR($C196="MLB",$C196="3A",$C196="2A",$C196="日職一軍",$C196="韓職一軍",$C196="KBO")),COUNT($M$3:M195)+1,"")</f>
        <v/>
      </c>
      <c r="N196" s="29" t="str">
        <f>IF(AND($D196="投手",$F196="YES",OR($C196="MLB",$C196="一軍",$C196="KBO",$C196="3A",$C196="2A")),COUNT($N$2:N195)+1,"")</f>
        <v/>
      </c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>
      <c r="A197" s="29"/>
      <c r="B197" s="29" t="str">
        <f>IFERROR(INDEX(總表!$B:$B,MATCH($A197,總表!$A:$A,0)),"")</f>
        <v/>
      </c>
      <c r="C197" s="29" t="str">
        <f>IFERROR(INDEX(總表!$G:$G,MATCH($A197,總表!$A:$A,0)),"")</f>
        <v/>
      </c>
      <c r="D197" s="29" t="str">
        <f>IFERROR(INDEX(總表!$C:$C,MATCH($A197,總表!$A:$A,0)),"")</f>
        <v/>
      </c>
      <c r="E197" s="29" t="str">
        <f>IFERROR(INDEX(總表!$F:$F,MATCH($A197,總表!$A:$A,0)),"")</f>
        <v/>
      </c>
      <c r="F197" s="29"/>
      <c r="G197" s="29"/>
      <c r="H197" s="29"/>
      <c r="I197" s="29">
        <f t="shared" si="9"/>
        <v>99</v>
      </c>
      <c r="J197" s="29">
        <f t="shared" si="7"/>
        <v>99</v>
      </c>
      <c r="K197" s="29">
        <f t="shared" si="8"/>
        <v>99</v>
      </c>
      <c r="L197" s="29" t="str">
        <f>IF(AND($D197="投手",LEFT($F197,3)="YES",OR($C197="MLB",$C197="3A",$C197="2A",$C197="日職一軍",$C197="韓職一軍",$C197="KBO")),COUNT($L$3:L196)+1,"")</f>
        <v/>
      </c>
      <c r="M197" s="29" t="str">
        <f>IF(AND($D197&lt;&gt;"投手",$D197&lt;&gt;"",LEFT($F197,3)="YES",OR($C197="MLB",$C197="3A",$C197="2A",$C197="日職一軍",$C197="韓職一軍",$C197="KBO")),COUNT($M$3:M196)+1,"")</f>
        <v/>
      </c>
      <c r="N197" s="29" t="str">
        <f>IF(AND($D197="投手",$F197="YES",OR($C197="MLB",$C197="一軍",$C197="KBO",$C197="3A",$C197="2A")),COUNT($N$2:N196)+1,"")</f>
        <v/>
      </c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>
      <c r="A198" s="29"/>
      <c r="B198" s="29" t="str">
        <f>IFERROR(INDEX(總表!$B:$B,MATCH($A198,總表!$A:$A,0)),"")</f>
        <v/>
      </c>
      <c r="C198" s="29" t="str">
        <f>IFERROR(INDEX(總表!$G:$G,MATCH($A198,總表!$A:$A,0)),"")</f>
        <v/>
      </c>
      <c r="D198" s="29" t="str">
        <f>IFERROR(INDEX(總表!$C:$C,MATCH($A198,總表!$A:$A,0)),"")</f>
        <v/>
      </c>
      <c r="E198" s="29" t="str">
        <f>IFERROR(INDEX(總表!$F:$F,MATCH($A198,總表!$A:$A,0)),"")</f>
        <v/>
      </c>
      <c r="F198" s="29"/>
      <c r="G198" s="29"/>
      <c r="H198" s="29"/>
      <c r="I198" s="29">
        <f t="shared" si="9"/>
        <v>99</v>
      </c>
      <c r="J198" s="29">
        <f t="shared" si="7"/>
        <v>99</v>
      </c>
      <c r="K198" s="29">
        <f t="shared" si="8"/>
        <v>99</v>
      </c>
      <c r="L198" s="29" t="str">
        <f>IF(AND($D198="投手",LEFT($F198,3)="YES",OR($C198="MLB",$C198="3A",$C198="2A",$C198="日職一軍",$C198="韓職一軍",$C198="KBO")),COUNT($L$3:L197)+1,"")</f>
        <v/>
      </c>
      <c r="M198" s="29" t="str">
        <f>IF(AND($D198&lt;&gt;"投手",$D198&lt;&gt;"",LEFT($F198,3)="YES",OR($C198="MLB",$C198="3A",$C198="2A",$C198="日職一軍",$C198="韓職一軍",$C198="KBO")),COUNT($M$3:M197)+1,"")</f>
        <v/>
      </c>
      <c r="N198" s="29" t="str">
        <f>IF(AND($D198="投手",$F198="YES",OR($C198="MLB",$C198="一軍",$C198="KBO",$C198="3A",$C198="2A")),COUNT($N$2:N197)+1,"")</f>
        <v/>
      </c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>
      <c r="A199" s="29"/>
      <c r="B199" s="29" t="str">
        <f>IFERROR(INDEX(總表!$B:$B,MATCH($A199,總表!$A:$A,0)),"")</f>
        <v/>
      </c>
      <c r="C199" s="29" t="str">
        <f>IFERROR(INDEX(總表!$G:$G,MATCH($A199,總表!$A:$A,0)),"")</f>
        <v/>
      </c>
      <c r="D199" s="29" t="str">
        <f>IFERROR(INDEX(總表!$C:$C,MATCH($A199,總表!$A:$A,0)),"")</f>
        <v/>
      </c>
      <c r="E199" s="29" t="str">
        <f>IFERROR(INDEX(總表!$F:$F,MATCH($A199,總表!$A:$A,0)),"")</f>
        <v/>
      </c>
      <c r="F199" s="29"/>
      <c r="G199" s="29"/>
      <c r="H199" s="29"/>
      <c r="I199" s="29">
        <f t="shared" si="9"/>
        <v>99</v>
      </c>
      <c r="J199" s="29">
        <f t="shared" si="7"/>
        <v>99</v>
      </c>
      <c r="K199" s="29">
        <f t="shared" si="8"/>
        <v>99</v>
      </c>
      <c r="L199" s="29" t="str">
        <f>IF(AND($D199="投手",LEFT($F199,3)="YES",OR($C199="MLB",$C199="3A",$C199="2A",$C199="日職一軍",$C199="韓職一軍",$C199="KBO")),COUNT($L$3:L198)+1,"")</f>
        <v/>
      </c>
      <c r="M199" s="29" t="str">
        <f>IF(AND($D199&lt;&gt;"投手",$D199&lt;&gt;"",LEFT($F199,3)="YES",OR($C199="MLB",$C199="3A",$C199="2A",$C199="日職一軍",$C199="韓職一軍",$C199="KBO")),COUNT($M$3:M198)+1,"")</f>
        <v/>
      </c>
      <c r="N199" s="29" t="str">
        <f>IF(AND($D199="投手",$F199="YES",OR($C199="MLB",$C199="一軍",$C199="KBO",$C199="3A",$C199="2A")),COUNT($N$2:N198)+1,"")</f>
        <v/>
      </c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>
      <c r="A200" s="29"/>
      <c r="B200" s="29" t="str">
        <f>IFERROR(INDEX(總表!$B:$B,MATCH($A200,總表!$A:$A,0)),"")</f>
        <v/>
      </c>
      <c r="C200" s="29" t="str">
        <f>IFERROR(INDEX(總表!$G:$G,MATCH($A200,總表!$A:$A,0)),"")</f>
        <v/>
      </c>
      <c r="D200" s="29" t="str">
        <f>IFERROR(INDEX(總表!$C:$C,MATCH($A200,總表!$A:$A,0)),"")</f>
        <v/>
      </c>
      <c r="E200" s="29" t="str">
        <f>IFERROR(INDEX(總表!$F:$F,MATCH($A200,總表!$A:$A,0)),"")</f>
        <v/>
      </c>
      <c r="F200" s="29"/>
      <c r="G200" s="29"/>
      <c r="H200" s="29"/>
      <c r="I200" s="29">
        <f t="shared" si="9"/>
        <v>99</v>
      </c>
      <c r="J200" s="29">
        <f t="shared" si="7"/>
        <v>99</v>
      </c>
      <c r="K200" s="29">
        <f t="shared" si="8"/>
        <v>99</v>
      </c>
      <c r="L200" s="29" t="str">
        <f>IF(AND($D200="投手",LEFT($F200,3)="YES",OR($C200="MLB",$C200="3A",$C200="2A",$C200="日職一軍",$C200="韓職一軍",$C200="KBO")),COUNT($L$3:L199)+1,"")</f>
        <v/>
      </c>
      <c r="M200" s="29" t="str">
        <f>IF(AND($D200&lt;&gt;"投手",$D200&lt;&gt;"",LEFT($F200,3)="YES",OR($C200="MLB",$C200="3A",$C200="2A",$C200="日職一軍",$C200="韓職一軍",$C200="KBO")),COUNT($M$3:M199)+1,"")</f>
        <v/>
      </c>
      <c r="N200" s="29" t="str">
        <f>IF(AND($D200="投手",$F200="YES",OR($C200="MLB",$C200="一軍",$C200="KBO",$C200="3A",$C200="2A")),COUNT($N$2:N199)+1,"")</f>
        <v/>
      </c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1"/>
  <sheetViews>
    <sheetView tabSelected="1" workbookViewId="0">
      <selection activeCell="E15" sqref="E15"/>
    </sheetView>
  </sheetViews>
  <sheetFormatPr defaultRowHeight="16.5"/>
  <cols>
    <col min="1" max="5" width="9" style="12"/>
    <col min="6" max="6" width="20.5" style="12" customWidth="1"/>
    <col min="7" max="8" width="9" style="12"/>
    <col min="9" max="9" width="6" style="12" customWidth="1"/>
    <col min="10" max="11" width="11.5" style="12" hidden="1" customWidth="1"/>
    <col min="12" max="12" width="18.375" style="12" hidden="1" customWidth="1"/>
    <col min="13" max="13" width="11.5" style="12" hidden="1" customWidth="1"/>
    <col min="14" max="14" width="11.625" style="12" hidden="1" customWidth="1"/>
    <col min="15" max="15" width="10.25" style="12" hidden="1" customWidth="1"/>
    <col min="16" max="17" width="8.25" style="12" customWidth="1"/>
    <col min="18" max="18" width="12.75" style="12" hidden="1" customWidth="1"/>
    <col min="19" max="19" width="39.875" style="12" customWidth="1"/>
    <col min="20" max="21" width="10.25" style="12" hidden="1" customWidth="1"/>
    <col min="22" max="22" width="8.125" style="12" hidden="1" customWidth="1"/>
    <col min="23" max="16384" width="9" style="12"/>
  </cols>
  <sheetData>
    <row r="1" spans="1:22" s="24" customFormat="1">
      <c r="A1" s="81" t="s">
        <v>17</v>
      </c>
      <c r="B1" s="81" t="s">
        <v>21</v>
      </c>
      <c r="C1" s="81" t="s">
        <v>23</v>
      </c>
      <c r="D1" s="81" t="s">
        <v>89</v>
      </c>
      <c r="E1" s="81" t="s">
        <v>90</v>
      </c>
      <c r="F1" s="81" t="s">
        <v>24</v>
      </c>
      <c r="G1" s="81" t="s">
        <v>22</v>
      </c>
      <c r="H1" s="81" t="s">
        <v>19</v>
      </c>
      <c r="I1" s="81" t="s">
        <v>18</v>
      </c>
      <c r="J1" s="81" t="s">
        <v>91</v>
      </c>
      <c r="K1" s="81" t="s">
        <v>92</v>
      </c>
      <c r="L1" s="81" t="s">
        <v>93</v>
      </c>
      <c r="M1" s="81" t="s">
        <v>94</v>
      </c>
      <c r="N1" s="81" t="s">
        <v>95</v>
      </c>
      <c r="O1" s="81" t="s">
        <v>96</v>
      </c>
      <c r="P1" s="81" t="s">
        <v>97</v>
      </c>
      <c r="Q1" s="81" t="s">
        <v>98</v>
      </c>
      <c r="R1" s="81" t="s">
        <v>99</v>
      </c>
      <c r="S1" s="81" t="s">
        <v>100</v>
      </c>
      <c r="T1" s="81" t="s">
        <v>101</v>
      </c>
      <c r="U1" s="81" t="s">
        <v>102</v>
      </c>
      <c r="V1" s="81" t="s">
        <v>103</v>
      </c>
    </row>
    <row r="2" spans="1:22">
      <c r="A2" s="13" t="s">
        <v>71</v>
      </c>
      <c r="B2" s="14" t="s">
        <v>104</v>
      </c>
      <c r="C2" s="14" t="s">
        <v>12</v>
      </c>
      <c r="D2" s="14" t="s">
        <v>105</v>
      </c>
      <c r="E2" s="14" t="s">
        <v>5</v>
      </c>
      <c r="F2" s="14" t="s">
        <v>106</v>
      </c>
      <c r="G2" s="14" t="s">
        <v>5</v>
      </c>
      <c r="H2" s="14" t="s">
        <v>107</v>
      </c>
      <c r="I2" s="1" t="str">
        <f>IF($A2="","",IFERROR(INDEX(異動資料源!$G:$G,MATCH($A2,異動資料源!$A:$A,0)),""))</f>
        <v/>
      </c>
      <c r="J2" s="12">
        <f>IF(B2="","",IF(B2="旅美",1,IF(B2="旅日",2,IF(B2="旅韓",3,IF(B2="其他",4,IF(B2="台裔",5,99))))))</f>
        <v>1</v>
      </c>
      <c r="K2" s="12">
        <f t="array" ref="K2">IF(G2="MLB",1,IF(G2="日職一軍",2,IF(G2="韓職一軍",3,IF(G2="3A",4,IF(G2="2A",5,IF(G2="A+",6,IF(G2="1A",7,IF(G2="RK",8,IF(G2="日職二軍",9,99)))))))))</f>
        <v>1</v>
      </c>
      <c r="L2" s="12" t="str">
        <f>IF(A2="","",A2)</f>
        <v>李灝宇</v>
      </c>
      <c r="M2" s="12">
        <f>IF($A2="","",IFERROR(INDEX(異動資料源!$E:$E,MATCH($A2,異動資料源!$A:$A,0)),""))</f>
        <v>1</v>
      </c>
      <c r="N2" s="12" t="str">
        <f>IF(AND($A2&lt;&gt;"",$H2&lt;&gt;"現役"),COUNTIFS($A$2:$A2,"&lt;&gt;",$H$2:$H2,"&lt;&gt;現役"),"")</f>
        <v/>
      </c>
      <c r="O2" s="12" t="str">
        <f>IF($A2="","",IFERROR(INDEX(異動資料源!$I:$I,MATCH($A2,異動資料源!$A:$A,0)),"現役"))</f>
        <v>現役</v>
      </c>
      <c r="R2" s="12" t="str">
        <f t="shared" ref="R2:R41" si="0">IF($A2="","",IF($H2="現役","現役",IF($P2=10,"⚕ IL("&amp;IF($Q2="","?",$Q2)&amp;"/10)",IF($P2=15,"⚕ IL("&amp;IF($Q2="","?",$Q2)&amp;"/15)",IF($P2=60,"⚕ IL("&amp;IF($Q2="","?",$Q2)&amp;"/60)","⚕ 傷兵")))))</f>
        <v>現役</v>
      </c>
      <c r="S2" s="12" t="str">
        <f>IF($A2="","",IFERROR(INDEX(異動資料源!$M:$M,MATCH($A2,異動資料源!$A:$A,0)),""))</f>
        <v/>
      </c>
      <c r="T2" s="12" t="str">
        <f>IF($S2&lt;&gt;"",SUM($U$2:U2),"")</f>
        <v/>
      </c>
      <c r="U2" s="12" t="str">
        <f>IF($A2="","",IFERROR(INDEX(異動資料源!$N:$N,MATCH($A2,異動資料源!$A:$A,0)),""))</f>
        <v/>
      </c>
      <c r="V2" s="12" t="str">
        <f>IF($A2="","",IFERROR(INDEX(異動資料源!$O:$O,MATCH($A2,異動資料源!$A:$A,0)),""))</f>
        <v/>
      </c>
    </row>
    <row r="3" spans="1:22">
      <c r="A3" s="13" t="s">
        <v>32</v>
      </c>
      <c r="B3" s="14" t="s">
        <v>104</v>
      </c>
      <c r="C3" s="14" t="s">
        <v>1</v>
      </c>
      <c r="D3" s="14" t="s">
        <v>105</v>
      </c>
      <c r="E3" s="14" t="s">
        <v>5</v>
      </c>
      <c r="F3" s="14" t="s">
        <v>108</v>
      </c>
      <c r="G3" s="14" t="s">
        <v>5</v>
      </c>
      <c r="H3" s="14" t="s">
        <v>107</v>
      </c>
      <c r="I3" s="1" t="str">
        <f>IF($A3="","",IFERROR(INDEX(異動資料源!$G:$G,MATCH($A3,異動資料源!$A:$A,0)),""))</f>
        <v/>
      </c>
      <c r="J3" s="12">
        <f t="shared" ref="J3:J41" si="1">IF(B3="","",IF(B3="旅美",1,IF(B3="旅日",2,IF(B3="旅韓",3,IF(B3="其他",4,IF(B3="台裔",5,99))))))</f>
        <v>1</v>
      </c>
      <c r="K3" s="12">
        <f t="array" ref="K3">IF(G3="MLB",1,IF(G3="日職一軍",2,IF(G3="韓職一軍",3,IF(G3="3A",4,IF(G3="2A",5,IF(G3="A+",6,IF(G3="1A",7,IF(G3="RK",8,IF(G3="日職二軍",9,99)))))))))</f>
        <v>1</v>
      </c>
      <c r="L3" s="12" t="str">
        <f t="shared" ref="L3:L41" si="2">IF(A3="","",A3)</f>
        <v>鄧愷威</v>
      </c>
      <c r="M3" s="12">
        <f>IF($A3="","",IFERROR(INDEX(異動資料源!$E:$E,MATCH($A3,異動資料源!$A:$A,0)),""))</f>
        <v>1</v>
      </c>
      <c r="N3" s="12" t="str">
        <f>IF(AND($A3&lt;&gt;"",$H3&lt;&gt;"現役"),COUNTIFS($A$2:$A3,"&lt;&gt;",$H$2:$H3,"&lt;&gt;現役"),"")</f>
        <v/>
      </c>
      <c r="O3" s="12" t="str">
        <f>IF($A3="","",IFERROR(INDEX(異動資料源!$I:$I,MATCH($A3,異動資料源!$A:$A,0)),"現役"))</f>
        <v>現役</v>
      </c>
      <c r="R3" s="12" t="str">
        <f t="shared" si="0"/>
        <v>現役</v>
      </c>
      <c r="S3" s="12" t="str">
        <f>IF($A3="","",IFERROR(INDEX(異動資料源!$M:$M,MATCH($A3,異動資料源!$A:$A,0)),""))</f>
        <v/>
      </c>
      <c r="T3" s="12" t="str">
        <f>IF($S3&lt;&gt;"",SUM($U$2:U3),"")</f>
        <v/>
      </c>
      <c r="U3" s="12" t="str">
        <f>IF($A3="","",IFERROR(INDEX(異動資料源!$N:$N,MATCH($A3,異動資料源!$A:$A,0)),""))</f>
        <v/>
      </c>
      <c r="V3" s="12" t="str">
        <f>IF($A3="","",IFERROR(INDEX(異動資料源!$O:$O,MATCH($A3,異動資料源!$A:$A,0)),""))</f>
        <v/>
      </c>
    </row>
    <row r="4" spans="1:22">
      <c r="A4" s="13" t="s">
        <v>34</v>
      </c>
      <c r="B4" s="14" t="s">
        <v>104</v>
      </c>
      <c r="C4" s="14" t="s">
        <v>1</v>
      </c>
      <c r="D4" s="14" t="s">
        <v>105</v>
      </c>
      <c r="E4" s="14" t="s">
        <v>109</v>
      </c>
      <c r="F4" s="14" t="s">
        <v>110</v>
      </c>
      <c r="G4" s="14" t="s">
        <v>6</v>
      </c>
      <c r="H4" s="14" t="s">
        <v>107</v>
      </c>
      <c r="I4" s="1" t="str">
        <f>IF($A4="","",IFERROR(INDEX(異動資料源!$G:$G,MATCH($A4,異動資料源!$A:$A,0)),""))</f>
        <v/>
      </c>
      <c r="J4" s="12">
        <f t="shared" si="1"/>
        <v>1</v>
      </c>
      <c r="K4" s="12">
        <f t="array" ref="K4">IF(G4="MLB",1,IF(G4="日職一軍",2,IF(G4="韓職一軍",3,IF(G4="3A",4,IF(G4="2A",5,IF(G4="A+",6,IF(G4="1A",7,IF(G4="RK",8,IF(G4="日職二軍",9,99)))))))))</f>
        <v>4</v>
      </c>
      <c r="L4" s="12" t="str">
        <f t="shared" si="2"/>
        <v>林昱珉</v>
      </c>
      <c r="M4" s="12">
        <f>IF($A4="","",IFERROR(INDEX(異動資料源!$E:$E,MATCH($A4,異動資料源!$A:$A,0)),""))</f>
        <v>4</v>
      </c>
      <c r="N4" s="12" t="str">
        <f>IF(AND($A4&lt;&gt;"",$H4&lt;&gt;"現役"),COUNTIFS($A$2:$A4,"&lt;&gt;",$H$2:$H4,"&lt;&gt;現役"),"")</f>
        <v/>
      </c>
      <c r="O4" s="12" t="str">
        <f>IF($A4="","",IFERROR(INDEX(異動資料源!$I:$I,MATCH($A4,異動資料源!$A:$A,0)),"現役"))</f>
        <v>現役</v>
      </c>
      <c r="R4" s="12" t="str">
        <f t="shared" si="0"/>
        <v>現役</v>
      </c>
      <c r="S4" s="12" t="str">
        <f>IF($A4="","",IFERROR(INDEX(異動資料源!$M:$M,MATCH($A4,異動資料源!$A:$A,0)),""))</f>
        <v/>
      </c>
      <c r="T4" s="12" t="str">
        <f>IF($S4&lt;&gt;"",SUM($U$2:U4),"")</f>
        <v/>
      </c>
      <c r="U4" s="12" t="str">
        <f>IF($A4="","",IFERROR(INDEX(異動資料源!$N:$N,MATCH($A4,異動資料源!$A:$A,0)),""))</f>
        <v/>
      </c>
      <c r="V4" s="12" t="str">
        <f>IF($A4="","",IFERROR(INDEX(異動資料源!$O:$O,MATCH($A4,異動資料源!$A:$A,0)),""))</f>
        <v/>
      </c>
    </row>
    <row r="5" spans="1:22">
      <c r="A5" s="13" t="s">
        <v>73</v>
      </c>
      <c r="B5" s="14" t="s">
        <v>104</v>
      </c>
      <c r="C5" s="14" t="s">
        <v>12</v>
      </c>
      <c r="D5" s="14" t="s">
        <v>105</v>
      </c>
      <c r="E5" s="14" t="s">
        <v>109</v>
      </c>
      <c r="F5" s="14" t="s">
        <v>111</v>
      </c>
      <c r="G5" s="14" t="s">
        <v>211</v>
      </c>
      <c r="H5" s="14" t="s">
        <v>107</v>
      </c>
      <c r="I5" s="1" t="str">
        <f>IF($A5="","",IFERROR(INDEX(異動資料源!$G:$G,MATCH($A5,異動資料源!$A:$A,0)),""))</f>
        <v/>
      </c>
      <c r="J5" s="12">
        <f t="shared" si="1"/>
        <v>1</v>
      </c>
      <c r="K5" s="12">
        <f t="array" ref="K5">IF(G5="MLB",1,IF(G5="日職一軍",2,IF(G5="韓職一軍",3,IF(G5="3A",4,IF(G5="2A",5,IF(G5="A+",6,IF(G5="1A",7,IF(G5="RK",8,IF(G5="日職二軍",9,99)))))))))</f>
        <v>4</v>
      </c>
      <c r="L5" s="12" t="str">
        <f t="shared" si="2"/>
        <v>鄭宗哲</v>
      </c>
      <c r="M5" s="12">
        <f>IF($A5="","",IFERROR(INDEX(異動資料源!$E:$E,MATCH($A5,異動資料源!$A:$A,0)),""))</f>
        <v>4</v>
      </c>
      <c r="N5" s="12" t="str">
        <f>IF(AND($A5&lt;&gt;"",$H5&lt;&gt;"現役"),COUNTIFS($A$2:$A5,"&lt;&gt;",$H$2:$H5,"&lt;&gt;現役"),"")</f>
        <v/>
      </c>
      <c r="O5" s="12" t="str">
        <f>IF($A5="","",IFERROR(INDEX(異動資料源!$I:$I,MATCH($A5,異動資料源!$A:$A,0)),"現役"))</f>
        <v>現役</v>
      </c>
      <c r="R5" s="12" t="str">
        <f t="shared" si="0"/>
        <v>現役</v>
      </c>
      <c r="S5" s="12" t="str">
        <f>IF($A5="","",IFERROR(INDEX(異動資料源!$M:$M,MATCH($A5,異動資料源!$A:$A,0)),""))</f>
        <v/>
      </c>
      <c r="T5" s="12" t="str">
        <f>IF($S5&lt;&gt;"",SUM($U$2:U5),"")</f>
        <v/>
      </c>
      <c r="U5" s="12" t="str">
        <f>IF($A5="","",IFERROR(INDEX(異動資料源!$N:$N,MATCH($A5,異動資料源!$A:$A,0)),""))</f>
        <v/>
      </c>
      <c r="V5" s="12" t="str">
        <f>IF($A5="","",IFERROR(INDEX(異動資料源!$O:$O,MATCH($A5,異動資料源!$A:$A,0)),""))</f>
        <v/>
      </c>
    </row>
    <row r="6" spans="1:22">
      <c r="A6" s="13" t="s">
        <v>37</v>
      </c>
      <c r="B6" s="14" t="s">
        <v>104</v>
      </c>
      <c r="C6" s="14" t="s">
        <v>1</v>
      </c>
      <c r="D6" s="14" t="s">
        <v>105</v>
      </c>
      <c r="E6" s="14" t="s">
        <v>109</v>
      </c>
      <c r="F6" s="14" t="s">
        <v>112</v>
      </c>
      <c r="G6" s="14" t="s">
        <v>7</v>
      </c>
      <c r="H6" s="14" t="s">
        <v>107</v>
      </c>
      <c r="I6" s="1" t="str">
        <f>IF($A6="","",IFERROR(INDEX(異動資料源!$G:$G,MATCH($A6,異動資料源!$A:$A,0)),""))</f>
        <v/>
      </c>
      <c r="J6" s="12">
        <f t="shared" si="1"/>
        <v>1</v>
      </c>
      <c r="K6" s="12">
        <f t="array" ref="K6">IF(G6="MLB",1,IF(G6="日職一軍",2,IF(G6="韓職一軍",3,IF(G6="3A",4,IF(G6="2A",5,IF(G6="A+",6,IF(G6="1A",7,IF(G6="RK",8,IF(G6="日職二軍",9,99)))))))))</f>
        <v>5</v>
      </c>
      <c r="L6" s="12" t="str">
        <f t="shared" si="2"/>
        <v>林振瑋</v>
      </c>
      <c r="M6" s="12">
        <f>IF($A6="","",IFERROR(INDEX(異動資料源!$E:$E,MATCH($A6,異動資料源!$A:$A,0)),""))</f>
        <v>5</v>
      </c>
      <c r="N6" s="12" t="str">
        <f>IF(AND($A6&lt;&gt;"",$H6&lt;&gt;"現役"),COUNTIFS($A$2:$A6,"&lt;&gt;",$H$2:$H6,"&lt;&gt;現役"),"")</f>
        <v/>
      </c>
      <c r="O6" s="12" t="str">
        <f>IF($A6="","",IFERROR(INDEX(異動資料源!$I:$I,MATCH($A6,異動資料源!$A:$A,0)),"現役"))</f>
        <v>現役</v>
      </c>
      <c r="R6" s="12" t="str">
        <f t="shared" si="0"/>
        <v>現役</v>
      </c>
      <c r="S6" s="12" t="str">
        <f>IF($A6="","",IFERROR(INDEX(異動資料源!$M:$M,MATCH($A6,異動資料源!$A:$A,0)),""))</f>
        <v/>
      </c>
      <c r="T6" s="12" t="str">
        <f>IF($S6&lt;&gt;"",SUM($U$2:U6),"")</f>
        <v/>
      </c>
      <c r="U6" s="12" t="str">
        <f>IF($A6="","",IFERROR(INDEX(異動資料源!$N:$N,MATCH($A6,異動資料源!$A:$A,0)),""))</f>
        <v/>
      </c>
      <c r="V6" s="12" t="str">
        <f>IF($A6="","",IFERROR(INDEX(異動資料源!$O:$O,MATCH($A6,異動資料源!$A:$A,0)),""))</f>
        <v/>
      </c>
    </row>
    <row r="7" spans="1:22">
      <c r="A7" s="13" t="s">
        <v>40</v>
      </c>
      <c r="B7" s="14" t="s">
        <v>104</v>
      </c>
      <c r="C7" s="14" t="s">
        <v>1</v>
      </c>
      <c r="D7" s="14" t="s">
        <v>105</v>
      </c>
      <c r="E7" s="14" t="s">
        <v>109</v>
      </c>
      <c r="F7" s="14" t="s">
        <v>113</v>
      </c>
      <c r="G7" s="14" t="s">
        <v>210</v>
      </c>
      <c r="H7" s="14" t="s">
        <v>107</v>
      </c>
      <c r="I7" s="1" t="str">
        <f>IF($A7="","",IFERROR(INDEX(異動資料源!$G:$G,MATCH($A7,異動資料源!$A:$A,0)),""))</f>
        <v/>
      </c>
      <c r="J7" s="12">
        <f t="shared" si="1"/>
        <v>1</v>
      </c>
      <c r="K7" s="12">
        <f t="array" ref="K7">IF(G7="MLB",1,IF(G7="日職一軍",2,IF(G7="韓職一軍",3,IF(G7="3A",4,IF(G7="2A",5,IF(G7="A+",6,IF(G7="1A",7,IF(G7="RK",8,IF(G7="日職二軍",9,99)))))))))</f>
        <v>5</v>
      </c>
      <c r="L7" s="12" t="str">
        <f t="shared" si="2"/>
        <v>林維恩</v>
      </c>
      <c r="M7" s="12">
        <f>IF($A7="","",IFERROR(INDEX(異動資料源!$E:$E,MATCH($A7,異動資料源!$A:$A,0)),""))</f>
        <v>5</v>
      </c>
      <c r="N7" s="12" t="str">
        <f>IF(AND($A7&lt;&gt;"",$H7&lt;&gt;"現役"),COUNTIFS($A$2:$A7,"&lt;&gt;",$H$2:$H7,"&lt;&gt;現役"),"")</f>
        <v/>
      </c>
      <c r="O7" s="12" t="str">
        <f>IF($A7="","",IFERROR(INDEX(異動資料源!$I:$I,MATCH($A7,異動資料源!$A:$A,0)),"現役"))</f>
        <v>現役</v>
      </c>
      <c r="R7" s="12" t="str">
        <f t="shared" si="0"/>
        <v>現役</v>
      </c>
      <c r="S7" s="12" t="str">
        <f>IF($A7="","",IFERROR(INDEX(異動資料源!$M:$M,MATCH($A7,異動資料源!$A:$A,0)),""))</f>
        <v/>
      </c>
      <c r="T7" s="12" t="str">
        <f>IF($S7&lt;&gt;"",SUM($U$2:U7),"")</f>
        <v/>
      </c>
      <c r="U7" s="12" t="str">
        <f>IF($A7="","",IFERROR(INDEX(異動資料源!$N:$N,MATCH($A7,異動資料源!$A:$A,0)),""))</f>
        <v/>
      </c>
      <c r="V7" s="12" t="str">
        <f>IF($A7="","",IFERROR(INDEX(異動資料源!$O:$O,MATCH($A7,異動資料源!$A:$A,0)),""))</f>
        <v/>
      </c>
    </row>
    <row r="8" spans="1:22">
      <c r="A8" s="13" t="s">
        <v>39</v>
      </c>
      <c r="B8" s="14" t="s">
        <v>104</v>
      </c>
      <c r="C8" s="14" t="s">
        <v>1</v>
      </c>
      <c r="D8" s="14" t="s">
        <v>105</v>
      </c>
      <c r="E8" s="14" t="s">
        <v>109</v>
      </c>
      <c r="F8" s="14" t="s">
        <v>113</v>
      </c>
      <c r="G8" s="14" t="s">
        <v>7</v>
      </c>
      <c r="H8" s="14" t="s">
        <v>107</v>
      </c>
      <c r="I8" s="1" t="str">
        <f>IF($A8="","",IFERROR(INDEX(異動資料源!$G:$G,MATCH($A8,異動資料源!$A:$A,0)),""))</f>
        <v/>
      </c>
      <c r="J8" s="12">
        <f t="shared" si="1"/>
        <v>1</v>
      </c>
      <c r="K8" s="12">
        <f t="array" ref="K8">IF(G8="MLB",1,IF(G8="日職一軍",2,IF(G8="韓職一軍",3,IF(G8="3A",4,IF(G8="2A",5,IF(G8="A+",6,IF(G8="1A",7,IF(G8="RK",8,IF(G8="日職二軍",9,99)))))))))</f>
        <v>5</v>
      </c>
      <c r="L8" s="12" t="str">
        <f t="shared" si="2"/>
        <v>莊陳仲敖</v>
      </c>
      <c r="M8" s="12">
        <f>IF($A8="","",IFERROR(INDEX(異動資料源!$E:$E,MATCH($A8,異動資料源!$A:$A,0)),""))</f>
        <v>5</v>
      </c>
      <c r="N8" s="12" t="str">
        <f>IF(AND($A8&lt;&gt;"",$H8&lt;&gt;"現役"),COUNTIFS($A$2:$A8,"&lt;&gt;",$H$2:$H8,"&lt;&gt;現役"),"")</f>
        <v/>
      </c>
      <c r="O8" s="12" t="str">
        <f>IF($A8="","",IFERROR(INDEX(異動資料源!$I:$I,MATCH($A8,異動資料源!$A:$A,0)),"現役"))</f>
        <v>現役</v>
      </c>
      <c r="R8" s="12" t="str">
        <f t="shared" si="0"/>
        <v>現役</v>
      </c>
      <c r="S8" s="12" t="str">
        <f>IF($A8="","",IFERROR(INDEX(異動資料源!$M:$M,MATCH($A8,異動資料源!$A:$A,0)),""))</f>
        <v/>
      </c>
      <c r="T8" s="12" t="str">
        <f>IF($S8&lt;&gt;"",SUM($U$2:U8),"")</f>
        <v/>
      </c>
      <c r="U8" s="12" t="str">
        <f>IF($A8="","",IFERROR(INDEX(異動資料源!$N:$N,MATCH($A8,異動資料源!$A:$A,0)),""))</f>
        <v/>
      </c>
      <c r="V8" s="12" t="str">
        <f>IF($A8="","",IFERROR(INDEX(異動資料源!$O:$O,MATCH($A8,異動資料源!$A:$A,0)),""))</f>
        <v/>
      </c>
    </row>
    <row r="9" spans="1:22">
      <c r="A9" s="13" t="s">
        <v>42</v>
      </c>
      <c r="B9" s="14" t="s">
        <v>104</v>
      </c>
      <c r="C9" s="14" t="s">
        <v>1</v>
      </c>
      <c r="D9" s="14" t="s">
        <v>105</v>
      </c>
      <c r="E9" s="14" t="s">
        <v>109</v>
      </c>
      <c r="F9" s="14" t="s">
        <v>114</v>
      </c>
      <c r="G9" s="14" t="s">
        <v>7</v>
      </c>
      <c r="H9" s="14" t="s">
        <v>107</v>
      </c>
      <c r="I9" s="1" t="str">
        <f>IF($A9="","",IFERROR(INDEX(異動資料源!$G:$G,MATCH($A9,異動資料源!$A:$A,0)),""))</f>
        <v/>
      </c>
      <c r="J9" s="12">
        <f t="shared" si="1"/>
        <v>1</v>
      </c>
      <c r="K9" s="12">
        <f t="array" ref="K9">IF(G9="MLB",1,IF(G9="日職一軍",2,IF(G9="韓職一軍",3,IF(G9="3A",4,IF(G9="2A",5,IF(G9="A+",6,IF(G9="1A",7,IF(G9="RK",8,IF(G9="日職二軍",9,99)))))))))</f>
        <v>5</v>
      </c>
      <c r="L9" s="12" t="str">
        <f t="shared" si="2"/>
        <v>陳柏毓</v>
      </c>
      <c r="M9" s="12">
        <f>IF($A9="","",IFERROR(INDEX(異動資料源!$E:$E,MATCH($A9,異動資料源!$A:$A,0)),""))</f>
        <v>5</v>
      </c>
      <c r="N9" s="12" t="str">
        <f>IF(AND($A9&lt;&gt;"",$H9&lt;&gt;"現役"),COUNTIFS($A$2:$A9,"&lt;&gt;",$H$2:$H9,"&lt;&gt;現役"),"")</f>
        <v/>
      </c>
      <c r="O9" s="12" t="str">
        <f>IF($A9="","",IFERROR(INDEX(異動資料源!$I:$I,MATCH($A9,異動資料源!$A:$A,0)),"現役"))</f>
        <v>現役</v>
      </c>
      <c r="R9" s="12" t="str">
        <f t="shared" si="0"/>
        <v>現役</v>
      </c>
      <c r="S9" s="12" t="str">
        <f>IF($A9="","",IFERROR(INDEX(異動資料源!$M:$M,MATCH($A9,異動資料源!$A:$A,0)),""))</f>
        <v/>
      </c>
      <c r="T9" s="12" t="str">
        <f>IF($S9&lt;&gt;"",SUM($U$2:U9),"")</f>
        <v/>
      </c>
      <c r="U9" s="12" t="str">
        <f>IF($A9="","",IFERROR(INDEX(異動資料源!$N:$N,MATCH($A9,異動資料源!$A:$A,0)),""))</f>
        <v/>
      </c>
      <c r="V9" s="12" t="str">
        <f>IF($A9="","",IFERROR(INDEX(異動資料源!$O:$O,MATCH($A9,異動資料源!$A:$A,0)),""))</f>
        <v/>
      </c>
    </row>
    <row r="10" spans="1:22">
      <c r="A10" s="13" t="s">
        <v>44</v>
      </c>
      <c r="B10" s="14" t="s">
        <v>104</v>
      </c>
      <c r="C10" s="14" t="s">
        <v>1</v>
      </c>
      <c r="D10" s="14" t="s">
        <v>105</v>
      </c>
      <c r="E10" s="14" t="s">
        <v>109</v>
      </c>
      <c r="F10" s="14" t="s">
        <v>111</v>
      </c>
      <c r="G10" s="14" t="s">
        <v>7</v>
      </c>
      <c r="H10" s="15" t="s">
        <v>115</v>
      </c>
      <c r="I10" s="1" t="str">
        <f>IF($A10="","",IFERROR(INDEX(異動資料源!$G:$G,MATCH($A10,異動資料源!$A:$A,0)),""))</f>
        <v/>
      </c>
      <c r="J10" s="12">
        <f t="shared" si="1"/>
        <v>1</v>
      </c>
      <c r="K10" s="12">
        <f t="array" ref="K10">IF(G10="MLB",1,IF(G10="日職一軍",2,IF(G10="韓職一軍",3,IF(G10="3A",4,IF(G10="2A",5,IF(G10="A+",6,IF(G10="1A",7,IF(G10="RK",8,IF(G10="日職二軍",9,99)))))))))</f>
        <v>5</v>
      </c>
      <c r="L10" s="12" t="str">
        <f t="shared" si="2"/>
        <v>劉致榮</v>
      </c>
      <c r="M10" s="12">
        <f>IF($A10="","",IFERROR(INDEX(異動資料源!$E:$E,MATCH($A10,異動資料源!$A:$A,0)),""))</f>
        <v>5</v>
      </c>
      <c r="N10" s="12">
        <f>IF(AND($A10&lt;&gt;"",$H10&lt;&gt;"現役"),COUNTIFS($A$2:$A10,"&lt;&gt;",$H$2:$H10,"&lt;&gt;現役"),"")</f>
        <v>1</v>
      </c>
      <c r="O10" s="12" t="str">
        <f>IF($A10="","",IFERROR(INDEX(異動資料源!$I:$I,MATCH($A10,異動資料源!$A:$A,0)),"現役"))</f>
        <v>傷兵</v>
      </c>
      <c r="P10" s="12">
        <v>60</v>
      </c>
      <c r="Q10" s="12">
        <v>39</v>
      </c>
      <c r="R10" s="12" t="str">
        <f t="shared" si="0"/>
        <v>⚕ IL(39/60)</v>
      </c>
      <c r="S10" s="12" t="str">
        <f>IF($A10="","",IFERROR(INDEX(異動資料源!$M:$M,MATCH($A10,異動資料源!$A:$A,0)),""))</f>
        <v>⚕ IL(39/60)</v>
      </c>
      <c r="T10" s="12">
        <f>IF($S10&lt;&gt;"",SUM($U$2:U10),"")</f>
        <v>1</v>
      </c>
      <c r="U10" s="12">
        <f>IF($A10="","",IFERROR(INDEX(異動資料源!$N:$N,MATCH($A10,異動資料源!$A:$A,0)),""))</f>
        <v>1</v>
      </c>
      <c r="V10" s="12">
        <f>IF($A10="","",IFERROR(INDEX(異動資料源!$O:$O,MATCH($A10,異動資料源!$A:$A,0)),""))</f>
        <v>1</v>
      </c>
    </row>
    <row r="11" spans="1:22">
      <c r="A11" s="13" t="s">
        <v>46</v>
      </c>
      <c r="B11" s="14" t="s">
        <v>104</v>
      </c>
      <c r="C11" s="14" t="s">
        <v>1</v>
      </c>
      <c r="D11" s="14" t="s">
        <v>105</v>
      </c>
      <c r="E11" s="14" t="s">
        <v>109</v>
      </c>
      <c r="F11" s="14" t="s">
        <v>113</v>
      </c>
      <c r="G11" s="14" t="s">
        <v>116</v>
      </c>
      <c r="H11" s="14" t="s">
        <v>107</v>
      </c>
      <c r="I11" s="1" t="str">
        <f>IF($A11="","",IFERROR(INDEX(異動資料源!$G:$G,MATCH($A11,異動資料源!$A:$A,0)),""))</f>
        <v/>
      </c>
      <c r="J11" s="12">
        <f t="shared" si="1"/>
        <v>1</v>
      </c>
      <c r="K11" s="12">
        <f t="array" ref="K11">IF(G11="MLB",1,IF(G11="日職一軍",2,IF(G11="韓職一軍",3,IF(G11="3A",4,IF(G11="2A",5,IF(G11="A+",6,IF(G11="1A",7,IF(G11="RK",8,IF(G11="日職二軍",9,99)))))))))</f>
        <v>6</v>
      </c>
      <c r="L11" s="12" t="str">
        <f t="shared" si="2"/>
        <v>沙子宸</v>
      </c>
      <c r="M11" s="12">
        <f>IF($A11="","",IFERROR(INDEX(異動資料源!$E:$E,MATCH($A11,異動資料源!$A:$A,0)),""))</f>
        <v>6</v>
      </c>
      <c r="N11" s="12" t="str">
        <f>IF(AND($A11&lt;&gt;"",$H11&lt;&gt;"現役"),COUNTIFS($A$2:$A11,"&lt;&gt;",$H$2:$H11,"&lt;&gt;現役"),"")</f>
        <v/>
      </c>
      <c r="O11" s="12" t="str">
        <f>IF($A11="","",IFERROR(INDEX(異動資料源!$I:$I,MATCH($A11,異動資料源!$A:$A,0)),"現役"))</f>
        <v>現役</v>
      </c>
      <c r="R11" s="12" t="str">
        <f t="shared" si="0"/>
        <v>現役</v>
      </c>
      <c r="S11" s="12" t="str">
        <f>IF($A11="","",IFERROR(INDEX(異動資料源!$M:$M,MATCH($A11,異動資料源!$A:$A,0)),""))</f>
        <v/>
      </c>
      <c r="T11" s="12" t="str">
        <f>IF($S11&lt;&gt;"",SUM($U$2:U11),"")</f>
        <v/>
      </c>
      <c r="U11" s="12" t="str">
        <f>IF($A11="","",IFERROR(INDEX(異動資料源!$N:$N,MATCH($A11,異動資料源!$A:$A,0)),""))</f>
        <v/>
      </c>
      <c r="V11" s="12" t="str">
        <f>IF($A11="","",IFERROR(INDEX(異動資料源!$O:$O,MATCH($A11,異動資料源!$A:$A,0)),""))</f>
        <v/>
      </c>
    </row>
    <row r="12" spans="1:22">
      <c r="A12" s="13" t="s">
        <v>48</v>
      </c>
      <c r="B12" s="14" t="s">
        <v>104</v>
      </c>
      <c r="C12" s="14" t="s">
        <v>1</v>
      </c>
      <c r="D12" s="14" t="s">
        <v>105</v>
      </c>
      <c r="E12" s="14" t="s">
        <v>109</v>
      </c>
      <c r="F12" s="14" t="s">
        <v>114</v>
      </c>
      <c r="G12" s="14" t="s">
        <v>116</v>
      </c>
      <c r="H12" s="14" t="s">
        <v>107</v>
      </c>
      <c r="I12" s="1" t="str">
        <f>IF($A12="","",IFERROR(INDEX(異動資料源!$G:$G,MATCH($A12,異動資料源!$A:$A,0)),""))</f>
        <v/>
      </c>
      <c r="J12" s="12">
        <f t="shared" si="1"/>
        <v>1</v>
      </c>
      <c r="K12" s="12">
        <f t="array" ref="K12">IF(G12="MLB",1,IF(G12="日職一軍",2,IF(G12="韓職一軍",3,IF(G12="3A",4,IF(G12="2A",5,IF(G12="A+",6,IF(G12="1A",7,IF(G12="RK",8,IF(G12="日職二軍",9,99)))))))))</f>
        <v>6</v>
      </c>
      <c r="L12" s="12" t="str">
        <f t="shared" si="2"/>
        <v>張弘稜</v>
      </c>
      <c r="M12" s="12">
        <f>IF($A12="","",IFERROR(INDEX(異動資料源!$E:$E,MATCH($A12,異動資料源!$A:$A,0)),""))</f>
        <v>6</v>
      </c>
      <c r="N12" s="12" t="str">
        <f>IF(AND($A12&lt;&gt;"",$H12&lt;&gt;"現役"),COUNTIFS($A$2:$A12,"&lt;&gt;",$H$2:$H12,"&lt;&gt;現役"),"")</f>
        <v/>
      </c>
      <c r="O12" s="12" t="str">
        <f>IF($A12="","",IFERROR(INDEX(異動資料源!$I:$I,MATCH($A12,異動資料源!$A:$A,0)),"現役"))</f>
        <v>現役</v>
      </c>
      <c r="R12" s="12" t="str">
        <f t="shared" si="0"/>
        <v>現役</v>
      </c>
      <c r="S12" s="12" t="str">
        <f>IF($A12="","",IFERROR(INDEX(異動資料源!$M:$M,MATCH($A12,異動資料源!$A:$A,0)),""))</f>
        <v/>
      </c>
      <c r="T12" s="12" t="str">
        <f>IF($S12&lt;&gt;"",SUM($U$2:U12),"")</f>
        <v/>
      </c>
      <c r="U12" s="12" t="str">
        <f>IF($A12="","",IFERROR(INDEX(異動資料源!$N:$N,MATCH($A12,異動資料源!$A:$A,0)),""))</f>
        <v/>
      </c>
      <c r="V12" s="12" t="str">
        <f>IF($A12="","",IFERROR(INDEX(異動資料源!$O:$O,MATCH($A12,異動資料源!$A:$A,0)),""))</f>
        <v/>
      </c>
    </row>
    <row r="13" spans="1:22">
      <c r="A13" s="13" t="s">
        <v>50</v>
      </c>
      <c r="B13" s="14" t="s">
        <v>104</v>
      </c>
      <c r="C13" s="14" t="s">
        <v>1</v>
      </c>
      <c r="D13" s="14" t="s">
        <v>105</v>
      </c>
      <c r="E13" s="14" t="s">
        <v>109</v>
      </c>
      <c r="F13" s="14" t="s">
        <v>117</v>
      </c>
      <c r="G13" s="14" t="s">
        <v>9</v>
      </c>
      <c r="H13" s="15" t="s">
        <v>115</v>
      </c>
      <c r="I13" s="1" t="str">
        <f>IF($A13="","",IFERROR(INDEX(異動資料源!$G:$G,MATCH($A13,異動資料源!$A:$A,0)),""))</f>
        <v/>
      </c>
      <c r="J13" s="12">
        <f t="shared" si="1"/>
        <v>1</v>
      </c>
      <c r="K13" s="12">
        <f t="array" ref="K13">IF(G13="MLB",1,IF(G13="日職一軍",2,IF(G13="韓職一軍",3,IF(G13="3A",4,IF(G13="2A",5,IF(G13="A+",6,IF(G13="1A",7,IF(G13="RK",8,IF(G13="日職二軍",9,99)))))))))</f>
        <v>7</v>
      </c>
      <c r="L13" s="12" t="str">
        <f t="shared" si="2"/>
        <v>沈家羲</v>
      </c>
      <c r="M13" s="12">
        <f>IF($A13="","",IFERROR(INDEX(異動資料源!$E:$E,MATCH($A13,異動資料源!$A:$A,0)),""))</f>
        <v>7</v>
      </c>
      <c r="N13" s="12">
        <f>IF(AND($A13&lt;&gt;"",$H13&lt;&gt;"現役"),COUNTIFS($A$2:$A13,"&lt;&gt;",$H$2:$H13,"&lt;&gt;現役"),"")</f>
        <v>2</v>
      </c>
      <c r="O13" s="12" t="str">
        <f>IF($A13="","",IFERROR(INDEX(異動資料源!$I:$I,MATCH($A13,異動資料源!$A:$A,0)),"現役"))</f>
        <v>傷兵</v>
      </c>
      <c r="P13" s="12">
        <v>60</v>
      </c>
      <c r="Q13" s="12">
        <v>39</v>
      </c>
      <c r="R13" s="12" t="str">
        <f t="shared" si="0"/>
        <v>⚕ IL(39/60)</v>
      </c>
      <c r="S13" s="12" t="str">
        <f>IF($A13="","",IFERROR(INDEX(異動資料源!$M:$M,MATCH($A13,異動資料源!$A:$A,0)),""))</f>
        <v>⚕ IL(39/60)</v>
      </c>
      <c r="T13" s="12">
        <f>IF($S13&lt;&gt;"",SUM($U$2:U13),"")</f>
        <v>2</v>
      </c>
      <c r="U13" s="12">
        <f>IF($A13="","",IFERROR(INDEX(異動資料源!$N:$N,MATCH($A13,異動資料源!$A:$A,0)),""))</f>
        <v>1</v>
      </c>
      <c r="V13" s="12">
        <f>IF($A13="","",IFERROR(INDEX(異動資料源!$O:$O,MATCH($A13,異動資料源!$A:$A,0)),""))</f>
        <v>2</v>
      </c>
    </row>
    <row r="14" spans="1:22">
      <c r="A14" s="13" t="s">
        <v>51</v>
      </c>
      <c r="B14" s="14" t="s">
        <v>104</v>
      </c>
      <c r="C14" s="14" t="s">
        <v>1</v>
      </c>
      <c r="D14" s="14" t="s">
        <v>105</v>
      </c>
      <c r="E14" s="14" t="s">
        <v>109</v>
      </c>
      <c r="F14" s="14" t="s">
        <v>118</v>
      </c>
      <c r="G14" s="14" t="s">
        <v>9</v>
      </c>
      <c r="H14" s="14" t="s">
        <v>107</v>
      </c>
      <c r="I14" s="1" t="str">
        <f>IF($A14="","",IFERROR(INDEX(異動資料源!$G:$G,MATCH($A14,異動資料源!$A:$A,0)),""))</f>
        <v/>
      </c>
      <c r="J14" s="12">
        <f t="shared" si="1"/>
        <v>1</v>
      </c>
      <c r="K14" s="12">
        <f t="array" ref="K14">IF(G14="MLB",1,IF(G14="日職一軍",2,IF(G14="韓職一軍",3,IF(G14="3A",4,IF(G14="2A",5,IF(G14="A+",6,IF(G14="1A",7,IF(G14="RK",8,IF(G14="日職二軍",9,99)))))))))</f>
        <v>7</v>
      </c>
      <c r="L14" s="12" t="str">
        <f t="shared" si="2"/>
        <v>林盛恩</v>
      </c>
      <c r="M14" s="12">
        <f>IF($A14="","",IFERROR(INDEX(異動資料源!$E:$E,MATCH($A14,異動資料源!$A:$A,0)),""))</f>
        <v>7</v>
      </c>
      <c r="N14" s="12" t="str">
        <f>IF(AND($A14&lt;&gt;"",$H14&lt;&gt;"現役"),COUNTIFS($A$2:$A14,"&lt;&gt;",$H$2:$H14,"&lt;&gt;現役"),"")</f>
        <v/>
      </c>
      <c r="O14" s="12" t="str">
        <f>IF($A14="","",IFERROR(INDEX(異動資料源!$I:$I,MATCH($A14,異動資料源!$A:$A,0)),"現役"))</f>
        <v>現役</v>
      </c>
      <c r="R14" s="12" t="str">
        <f t="shared" si="0"/>
        <v>現役</v>
      </c>
      <c r="S14" s="12" t="str">
        <f>IF($A14="","",IFERROR(INDEX(異動資料源!$M:$M,MATCH($A14,異動資料源!$A:$A,0)),""))</f>
        <v/>
      </c>
      <c r="T14" s="12" t="str">
        <f>IF($S14&lt;&gt;"",SUM($U$2:U14),"")</f>
        <v/>
      </c>
      <c r="U14" s="12" t="str">
        <f>IF($A14="","",IFERROR(INDEX(異動資料源!$N:$N,MATCH($A14,異動資料源!$A:$A,0)),""))</f>
        <v/>
      </c>
      <c r="V14" s="12" t="str">
        <f>IF($A14="","",IFERROR(INDEX(異動資料源!$O:$O,MATCH($A14,異動資料源!$A:$A,0)),""))</f>
        <v/>
      </c>
    </row>
    <row r="15" spans="1:22">
      <c r="A15" s="13" t="s">
        <v>75</v>
      </c>
      <c r="B15" s="14" t="s">
        <v>104</v>
      </c>
      <c r="C15" s="14" t="s">
        <v>119</v>
      </c>
      <c r="D15" s="14" t="s">
        <v>105</v>
      </c>
      <c r="E15" s="14" t="s">
        <v>109</v>
      </c>
      <c r="F15" s="14" t="s">
        <v>120</v>
      </c>
      <c r="G15" s="14" t="s">
        <v>9</v>
      </c>
      <c r="H15" s="14" t="s">
        <v>107</v>
      </c>
      <c r="I15" s="1" t="str">
        <f>IF($A15="","",IFERROR(INDEX(異動資料源!$G:$G,MATCH($A15,異動資料源!$A:$A,0)),""))</f>
        <v/>
      </c>
      <c r="J15" s="12">
        <f t="shared" si="1"/>
        <v>1</v>
      </c>
      <c r="K15" s="12">
        <f t="array" ref="K15">IF(G15="MLB",1,IF(G15="日職一軍",2,IF(G15="韓職一軍",3,IF(G15="3A",4,IF(G15="2A",5,IF(G15="A+",6,IF(G15="1A",7,IF(G15="RK",8,IF(G15="日職二軍",9,99)))))))))</f>
        <v>7</v>
      </c>
      <c r="L15" s="12" t="str">
        <f t="shared" si="2"/>
        <v>柯敬賢</v>
      </c>
      <c r="M15" s="12">
        <f>IF($A15="","",IFERROR(INDEX(異動資料源!$E:$E,MATCH($A15,異動資料源!$A:$A,0)),""))</f>
        <v>7</v>
      </c>
      <c r="N15" s="12" t="str">
        <f>IF(AND($A15&lt;&gt;"",$H15&lt;&gt;"現役"),COUNTIFS($A$2:$A15,"&lt;&gt;",$H$2:$H15,"&lt;&gt;現役"),"")</f>
        <v/>
      </c>
      <c r="O15" s="12" t="str">
        <f>IF($A15="","",IFERROR(INDEX(異動資料源!$I:$I,MATCH($A15,異動資料源!$A:$A,0)),"現役"))</f>
        <v>現役</v>
      </c>
      <c r="R15" s="12" t="str">
        <f t="shared" si="0"/>
        <v>現役</v>
      </c>
      <c r="S15" s="12" t="str">
        <f>IF($A15="","",IFERROR(INDEX(異動資料源!$M:$M,MATCH($A15,異動資料源!$A:$A,0)),""))</f>
        <v/>
      </c>
      <c r="T15" s="12" t="str">
        <f>IF($S15&lt;&gt;"",SUM($U$2:U15),"")</f>
        <v/>
      </c>
      <c r="U15" s="12" t="str">
        <f>IF($A15="","",IFERROR(INDEX(異動資料源!$N:$N,MATCH($A15,異動資料源!$A:$A,0)),""))</f>
        <v/>
      </c>
      <c r="V15" s="12" t="str">
        <f>IF($A15="","",IFERROR(INDEX(異動資料源!$O:$O,MATCH($A15,異動資料源!$A:$A,0)),""))</f>
        <v/>
      </c>
    </row>
    <row r="16" spans="1:22">
      <c r="A16" s="13" t="s">
        <v>52</v>
      </c>
      <c r="B16" s="14" t="s">
        <v>104</v>
      </c>
      <c r="C16" s="14" t="s">
        <v>1</v>
      </c>
      <c r="D16" s="14" t="s">
        <v>105</v>
      </c>
      <c r="E16" s="14" t="s">
        <v>109</v>
      </c>
      <c r="F16" s="14" t="s">
        <v>110</v>
      </c>
      <c r="G16" s="14" t="s">
        <v>9</v>
      </c>
      <c r="H16" s="14" t="s">
        <v>107</v>
      </c>
      <c r="I16" s="1" t="str">
        <f>IF($A16="","",IFERROR(INDEX(異動資料源!$G:$G,MATCH($A16,異動資料源!$A:$A,0)),""))</f>
        <v/>
      </c>
      <c r="J16" s="12">
        <f t="shared" si="1"/>
        <v>1</v>
      </c>
      <c r="K16" s="12">
        <f t="array" ref="K16">IF(G16="MLB",1,IF(G16="日職一軍",2,IF(G16="韓職一軍",3,IF(G16="3A",4,IF(G16="2A",5,IF(G16="A+",6,IF(G16="1A",7,IF(G16="RK",8,IF(G16="日職二軍",9,99)))))))))</f>
        <v>7</v>
      </c>
      <c r="L16" s="12" t="str">
        <f t="shared" si="2"/>
        <v>黃仲翔</v>
      </c>
      <c r="M16" s="12">
        <f>IF($A16="","",IFERROR(INDEX(異動資料源!$E:$E,MATCH($A16,異動資料源!$A:$A,0)),""))</f>
        <v>7</v>
      </c>
      <c r="N16" s="12" t="str">
        <f>IF(AND($A16&lt;&gt;"",$H16&lt;&gt;"現役"),COUNTIFS($A$2:$A16,"&lt;&gt;",$H$2:$H16,"&lt;&gt;現役"),"")</f>
        <v/>
      </c>
      <c r="O16" s="12" t="str">
        <f>IF($A16="","",IFERROR(INDEX(異動資料源!$I:$I,MATCH($A16,異動資料源!$A:$A,0)),"現役"))</f>
        <v>現役</v>
      </c>
      <c r="R16" s="12" t="str">
        <f t="shared" si="0"/>
        <v>現役</v>
      </c>
      <c r="S16" s="12" t="str">
        <f>IF($A16="","",IFERROR(INDEX(異動資料源!$M:$M,MATCH($A16,異動資料源!$A:$A,0)),""))</f>
        <v/>
      </c>
      <c r="T16" s="12" t="str">
        <f>IF($S16&lt;&gt;"",SUM($U$2:U16),"")</f>
        <v/>
      </c>
      <c r="U16" s="12" t="str">
        <f>IF($A16="","",IFERROR(INDEX(異動資料源!$N:$N,MATCH($A16,異動資料源!$A:$A,0)),""))</f>
        <v/>
      </c>
      <c r="V16" s="12" t="str">
        <f>IF($A16="","",IFERROR(INDEX(異動資料源!$O:$O,MATCH($A16,異動資料源!$A:$A,0)),""))</f>
        <v/>
      </c>
    </row>
    <row r="17" spans="1:22">
      <c r="A17" s="13" t="s">
        <v>53</v>
      </c>
      <c r="B17" s="14" t="s">
        <v>104</v>
      </c>
      <c r="C17" s="14" t="s">
        <v>1</v>
      </c>
      <c r="D17" s="14" t="s">
        <v>105</v>
      </c>
      <c r="E17" s="14" t="s">
        <v>109</v>
      </c>
      <c r="F17" s="14" t="s">
        <v>121</v>
      </c>
      <c r="G17" s="14" t="s">
        <v>9</v>
      </c>
      <c r="H17" s="14" t="s">
        <v>107</v>
      </c>
      <c r="I17" s="1" t="str">
        <f>IF($A17="","",IFERROR(INDEX(異動資料源!$G:$G,MATCH($A17,異動資料源!$A:$A,0)),""))</f>
        <v/>
      </c>
      <c r="J17" s="12">
        <f t="shared" si="1"/>
        <v>1</v>
      </c>
      <c r="K17" s="12">
        <f t="array" ref="K17">IF(G17="MLB",1,IF(G17="日職一軍",2,IF(G17="韓職一軍",3,IF(G17="3A",4,IF(G17="2A",5,IF(G17="A+",6,IF(G17="1A",7,IF(G17="RK",8,IF(G17="日職二軍",9,99)))))))))</f>
        <v>7</v>
      </c>
      <c r="L17" s="12" t="str">
        <f t="shared" si="2"/>
        <v>潘文輝</v>
      </c>
      <c r="M17" s="12">
        <f>IF($A17="","",IFERROR(INDEX(異動資料源!$E:$E,MATCH($A17,異動資料源!$A:$A,0)),""))</f>
        <v>7</v>
      </c>
      <c r="N17" s="12" t="str">
        <f>IF(AND($A17&lt;&gt;"",$H17&lt;&gt;"現役"),COUNTIFS($A$2:$A17,"&lt;&gt;",$H$2:$H17,"&lt;&gt;現役"),"")</f>
        <v/>
      </c>
      <c r="O17" s="12" t="str">
        <f>IF($A17="","",IFERROR(INDEX(異動資料源!$I:$I,MATCH($A17,異動資料源!$A:$A,0)),"現役"))</f>
        <v>現役</v>
      </c>
      <c r="R17" s="12" t="str">
        <f t="shared" si="0"/>
        <v>現役</v>
      </c>
      <c r="S17" s="12" t="str">
        <f>IF($A17="","",IFERROR(INDEX(異動資料源!$M:$M,MATCH($A17,異動資料源!$A:$A,0)),""))</f>
        <v/>
      </c>
      <c r="T17" s="12" t="str">
        <f>IF($S17&lt;&gt;"",SUM($U$2:U17),"")</f>
        <v/>
      </c>
      <c r="U17" s="12" t="str">
        <f>IF($A17="","",IFERROR(INDEX(異動資料源!$N:$N,MATCH($A17,異動資料源!$A:$A,0)),""))</f>
        <v/>
      </c>
      <c r="V17" s="12" t="str">
        <f>IF($A17="","",IFERROR(INDEX(異動資料源!$O:$O,MATCH($A17,異動資料源!$A:$A,0)),""))</f>
        <v/>
      </c>
    </row>
    <row r="18" spans="1:22">
      <c r="A18" s="13" t="s">
        <v>55</v>
      </c>
      <c r="B18" s="14" t="s">
        <v>104</v>
      </c>
      <c r="C18" s="14" t="s">
        <v>1</v>
      </c>
      <c r="D18" s="14" t="s">
        <v>105</v>
      </c>
      <c r="E18" s="14" t="s">
        <v>109</v>
      </c>
      <c r="F18" s="14" t="s">
        <v>122</v>
      </c>
      <c r="G18" s="14" t="s">
        <v>123</v>
      </c>
      <c r="H18" s="14" t="s">
        <v>107</v>
      </c>
      <c r="I18" s="1" t="str">
        <f>IF($A18="","",IFERROR(INDEX(異動資料源!$G:$G,MATCH($A18,異動資料源!$A:$A,0)),""))</f>
        <v/>
      </c>
      <c r="J18" s="12">
        <f t="shared" si="1"/>
        <v>1</v>
      </c>
      <c r="K18" s="12">
        <f t="array" ref="K18">IF(G18="MLB",1,IF(G18="日職一軍",2,IF(G18="韓職一軍",3,IF(G18="3A",4,IF(G18="2A",5,IF(G18="A+",6,IF(G18="1A",7,IF(G18="RK",8,IF(G18="日職二軍",9,99)))))))))</f>
        <v>8</v>
      </c>
      <c r="L18" s="12" t="str">
        <f t="shared" si="2"/>
        <v>李晨薰</v>
      </c>
      <c r="M18" s="12">
        <f>IF($A18="","",IFERROR(INDEX(異動資料源!$E:$E,MATCH($A18,異動資料源!$A:$A,0)),""))</f>
        <v>8</v>
      </c>
      <c r="N18" s="12" t="str">
        <f>IF(AND($A18&lt;&gt;"",$H18&lt;&gt;"現役"),COUNTIFS($A$2:$A18,"&lt;&gt;",$H$2:$H18,"&lt;&gt;現役"),"")</f>
        <v/>
      </c>
      <c r="O18" s="12" t="str">
        <f>IF($A18="","",IFERROR(INDEX(異動資料源!$I:$I,MATCH($A18,異動資料源!$A:$A,0)),"現役"))</f>
        <v>現役</v>
      </c>
      <c r="R18" s="12" t="str">
        <f t="shared" si="0"/>
        <v>現役</v>
      </c>
      <c r="S18" s="12" t="str">
        <f>IF($A18="","",IFERROR(INDEX(異動資料源!$M:$M,MATCH($A18,異動資料源!$A:$A,0)),""))</f>
        <v/>
      </c>
      <c r="T18" s="12" t="str">
        <f>IF($S18&lt;&gt;"",SUM($U$2:U18),"")</f>
        <v/>
      </c>
      <c r="U18" s="12" t="str">
        <f>IF($A18="","",IFERROR(INDEX(異動資料源!$N:$N,MATCH($A18,異動資料源!$A:$A,0)),""))</f>
        <v/>
      </c>
      <c r="V18" s="12" t="str">
        <f>IF($A18="","",IFERROR(INDEX(異動資料源!$O:$O,MATCH($A18,異動資料源!$A:$A,0)),""))</f>
        <v/>
      </c>
    </row>
    <row r="19" spans="1:22">
      <c r="A19" s="13" t="s">
        <v>57</v>
      </c>
      <c r="B19" s="14" t="s">
        <v>104</v>
      </c>
      <c r="C19" s="14" t="s">
        <v>1</v>
      </c>
      <c r="D19" s="14" t="s">
        <v>105</v>
      </c>
      <c r="E19" s="14" t="s">
        <v>109</v>
      </c>
      <c r="F19" s="14" t="s">
        <v>124</v>
      </c>
      <c r="G19" s="14" t="s">
        <v>123</v>
      </c>
      <c r="H19" s="14" t="s">
        <v>107</v>
      </c>
      <c r="I19" s="1" t="str">
        <f>IF($A19="","",IFERROR(INDEX(異動資料源!$G:$G,MATCH($A19,異動資料源!$A:$A,0)),""))</f>
        <v/>
      </c>
      <c r="J19" s="12">
        <f t="shared" si="1"/>
        <v>1</v>
      </c>
      <c r="K19" s="12">
        <f t="array" ref="K19">IF(G19="MLB",1,IF(G19="日職一軍",2,IF(G19="韓職一軍",3,IF(G19="3A",4,IF(G19="2A",5,IF(G19="A+",6,IF(G19="1A",7,IF(G19="RK",8,IF(G19="日職二軍",9,99)))))))))</f>
        <v>8</v>
      </c>
      <c r="L19" s="12" t="str">
        <f t="shared" si="2"/>
        <v>林張子俊</v>
      </c>
      <c r="M19" s="12">
        <f>IF($A19="","",IFERROR(INDEX(異動資料源!$E:$E,MATCH($A19,異動資料源!$A:$A,0)),""))</f>
        <v>8</v>
      </c>
      <c r="N19" s="12" t="str">
        <f>IF(AND($A19&lt;&gt;"",$H19&lt;&gt;"現役"),COUNTIFS($A$2:$A19,"&lt;&gt;",$H$2:$H19,"&lt;&gt;現役"),"")</f>
        <v/>
      </c>
      <c r="O19" s="12" t="str">
        <f>IF($A19="","",IFERROR(INDEX(異動資料源!$I:$I,MATCH($A19,異動資料源!$A:$A,0)),"現役"))</f>
        <v>現役</v>
      </c>
      <c r="R19" s="12" t="str">
        <f t="shared" si="0"/>
        <v>現役</v>
      </c>
      <c r="S19" s="12" t="str">
        <f>IF($A19="","",IFERROR(INDEX(異動資料源!$M:$M,MATCH($A19,異動資料源!$A:$A,0)),""))</f>
        <v/>
      </c>
      <c r="T19" s="12" t="str">
        <f>IF($S19&lt;&gt;"",SUM($U$2:U19),"")</f>
        <v/>
      </c>
      <c r="U19" s="12" t="str">
        <f>IF($A19="","",IFERROR(INDEX(異動資料源!$N:$N,MATCH($A19,異動資料源!$A:$A,0)),""))</f>
        <v/>
      </c>
      <c r="V19" s="12" t="str">
        <f>IF($A19="","",IFERROR(INDEX(異動資料源!$O:$O,MATCH($A19,異動資料源!$A:$A,0)),""))</f>
        <v/>
      </c>
    </row>
    <row r="20" spans="1:22">
      <c r="A20" s="13" t="s">
        <v>58</v>
      </c>
      <c r="B20" s="14" t="s">
        <v>104</v>
      </c>
      <c r="C20" s="14" t="s">
        <v>1</v>
      </c>
      <c r="D20" s="14" t="s">
        <v>105</v>
      </c>
      <c r="E20" s="14" t="s">
        <v>109</v>
      </c>
      <c r="F20" s="14" t="s">
        <v>117</v>
      </c>
      <c r="G20" s="14" t="s">
        <v>123</v>
      </c>
      <c r="H20" s="14" t="s">
        <v>107</v>
      </c>
      <c r="I20" s="1" t="str">
        <f>IF($A20="","",IFERROR(INDEX(異動資料源!$G:$G,MATCH($A20,異動資料源!$A:$A,0)),""))</f>
        <v/>
      </c>
      <c r="J20" s="12">
        <f t="shared" si="1"/>
        <v>1</v>
      </c>
      <c r="K20" s="12">
        <f t="array" ref="K20">IF(G20="MLB",1,IF(G20="日職一軍",2,IF(G20="韓職一軍",3,IF(G20="3A",4,IF(G20="2A",5,IF(G20="A+",6,IF(G20="1A",7,IF(G20="RK",8,IF(G20="日職二軍",9,99)))))))))</f>
        <v>8</v>
      </c>
      <c r="L20" s="12" t="str">
        <f t="shared" si="2"/>
        <v>林鉑濬</v>
      </c>
      <c r="M20" s="12">
        <f>IF($A20="","",IFERROR(INDEX(異動資料源!$E:$E,MATCH($A20,異動資料源!$A:$A,0)),""))</f>
        <v>8</v>
      </c>
      <c r="N20" s="12" t="str">
        <f>IF(AND($A20&lt;&gt;"",$H20&lt;&gt;"現役"),COUNTIFS($A$2:$A20,"&lt;&gt;",$H$2:$H20,"&lt;&gt;現役"),"")</f>
        <v/>
      </c>
      <c r="O20" s="12" t="str">
        <f>IF($A20="","",IFERROR(INDEX(異動資料源!$I:$I,MATCH($A20,異動資料源!$A:$A,0)),"現役"))</f>
        <v>現役</v>
      </c>
      <c r="R20" s="12" t="str">
        <f t="shared" si="0"/>
        <v>現役</v>
      </c>
      <c r="S20" s="12" t="str">
        <f>IF($A20="","",IFERROR(INDEX(異動資料源!$M:$M,MATCH($A20,異動資料源!$A:$A,0)),""))</f>
        <v/>
      </c>
      <c r="T20" s="12" t="str">
        <f>IF($S20&lt;&gt;"",SUM($U$2:U20),"")</f>
        <v/>
      </c>
      <c r="U20" s="12" t="str">
        <f>IF($A20="","",IFERROR(INDEX(異動資料源!$N:$N,MATCH($A20,異動資料源!$A:$A,0)),""))</f>
        <v/>
      </c>
      <c r="V20" s="12" t="str">
        <f>IF($A20="","",IFERROR(INDEX(異動資料源!$O:$O,MATCH($A20,異動資料源!$A:$A,0)),""))</f>
        <v/>
      </c>
    </row>
    <row r="21" spans="1:22">
      <c r="A21" s="13" t="s">
        <v>59</v>
      </c>
      <c r="B21" s="14" t="s">
        <v>104</v>
      </c>
      <c r="C21" s="14" t="s">
        <v>1</v>
      </c>
      <c r="D21" s="14" t="s">
        <v>105</v>
      </c>
      <c r="E21" s="14" t="s">
        <v>109</v>
      </c>
      <c r="F21" s="14" t="s">
        <v>122</v>
      </c>
      <c r="G21" s="14" t="s">
        <v>123</v>
      </c>
      <c r="H21" s="14" t="s">
        <v>107</v>
      </c>
      <c r="I21" s="1" t="str">
        <f>IF($A21="","",IFERROR(INDEX(異動資料源!$G:$G,MATCH($A21,異動資料源!$A:$A,0)),""))</f>
        <v/>
      </c>
      <c r="J21" s="12">
        <f t="shared" si="1"/>
        <v>1</v>
      </c>
      <c r="K21" s="12">
        <f t="array" ref="K21">IF(G21="MLB",1,IF(G21="日職一軍",2,IF(G21="韓職一軍",3,IF(G21="3A",4,IF(G21="2A",5,IF(G21="A+",6,IF(G21="1A",7,IF(G21="RK",8,IF(G21="日職二軍",9,99)))))))))</f>
        <v>8</v>
      </c>
      <c r="L21" s="12" t="str">
        <f t="shared" si="2"/>
        <v>陽念希</v>
      </c>
      <c r="M21" s="12">
        <f>IF($A21="","",IFERROR(INDEX(異動資料源!$E:$E,MATCH($A21,異動資料源!$A:$A,0)),""))</f>
        <v>8</v>
      </c>
      <c r="N21" s="12" t="str">
        <f>IF(AND($A21&lt;&gt;"",$H21&lt;&gt;"現役"),COUNTIFS($A$2:$A21,"&lt;&gt;",$H$2:$H21,"&lt;&gt;現役"),"")</f>
        <v/>
      </c>
      <c r="O21" s="12" t="str">
        <f>IF($A21="","",IFERROR(INDEX(異動資料源!$I:$I,MATCH($A21,異動資料源!$A:$A,0)),"現役"))</f>
        <v>現役</v>
      </c>
      <c r="R21" s="12" t="str">
        <f t="shared" si="0"/>
        <v>現役</v>
      </c>
      <c r="S21" s="12" t="str">
        <f>IF($A21="","",IFERROR(INDEX(異動資料源!$M:$M,MATCH($A21,異動資料源!$A:$A,0)),""))</f>
        <v/>
      </c>
      <c r="T21" s="12" t="str">
        <f>IF($S21&lt;&gt;"",SUM($U$2:U21),"")</f>
        <v/>
      </c>
      <c r="U21" s="12" t="str">
        <f>IF($A21="","",IFERROR(INDEX(異動資料源!$N:$N,MATCH($A21,異動資料源!$A:$A,0)),""))</f>
        <v/>
      </c>
      <c r="V21" s="12" t="str">
        <f>IF($A21="","",IFERROR(INDEX(異動資料源!$O:$O,MATCH($A21,異動資料源!$A:$A,0)),""))</f>
        <v/>
      </c>
    </row>
    <row r="22" spans="1:22">
      <c r="A22" s="13" t="s">
        <v>77</v>
      </c>
      <c r="B22" s="14" t="s">
        <v>104</v>
      </c>
      <c r="C22" s="14" t="s">
        <v>125</v>
      </c>
      <c r="D22" s="14" t="s">
        <v>105</v>
      </c>
      <c r="E22" s="14" t="s">
        <v>109</v>
      </c>
      <c r="F22" s="14" t="s">
        <v>124</v>
      </c>
      <c r="G22" s="14" t="s">
        <v>123</v>
      </c>
      <c r="H22" s="14" t="s">
        <v>107</v>
      </c>
      <c r="I22" s="1" t="str">
        <f>IF($A22="","",IFERROR(INDEX(異動資料源!$G:$G,MATCH($A22,異動資料源!$A:$A,0)),""))</f>
        <v/>
      </c>
      <c r="J22" s="12">
        <f t="shared" si="1"/>
        <v>1</v>
      </c>
      <c r="K22" s="12">
        <f t="array" ref="K22">IF(G22="MLB",1,IF(G22="日職一軍",2,IF(G22="韓職一軍",3,IF(G22="3A",4,IF(G22="2A",5,IF(G22="A+",6,IF(G22="1A",7,IF(G22="RK",8,IF(G22="日職二軍",9,99)))))))))</f>
        <v>8</v>
      </c>
      <c r="L22" s="12" t="str">
        <f t="shared" si="2"/>
        <v>廖宥霖</v>
      </c>
      <c r="M22" s="12">
        <f>IF($A22="","",IFERROR(INDEX(異動資料源!$E:$E,MATCH($A22,異動資料源!$A:$A,0)),""))</f>
        <v>8</v>
      </c>
      <c r="N22" s="12" t="str">
        <f>IF(AND($A22&lt;&gt;"",$H22&lt;&gt;"現役"),COUNTIFS($A$2:$A22,"&lt;&gt;",$H$2:$H22,"&lt;&gt;現役"),"")</f>
        <v/>
      </c>
      <c r="O22" s="12" t="str">
        <f>IF($A22="","",IFERROR(INDEX(異動資料源!$I:$I,MATCH($A22,異動資料源!$A:$A,0)),"現役"))</f>
        <v>現役</v>
      </c>
      <c r="R22" s="12" t="str">
        <f t="shared" si="0"/>
        <v>現役</v>
      </c>
      <c r="S22" s="12" t="str">
        <f>IF($A22="","",IFERROR(INDEX(異動資料源!$M:$M,MATCH($A22,異動資料源!$A:$A,0)),""))</f>
        <v/>
      </c>
      <c r="T22" s="12" t="str">
        <f>IF($S22&lt;&gt;"",SUM($U$2:U22),"")</f>
        <v/>
      </c>
      <c r="U22" s="12" t="str">
        <f>IF($A22="","",IFERROR(INDEX(異動資料源!$N:$N,MATCH($A22,異動資料源!$A:$A,0)),""))</f>
        <v/>
      </c>
      <c r="V22" s="12" t="str">
        <f>IF($A22="","",IFERROR(INDEX(異動資料源!$O:$O,MATCH($A22,異動資料源!$A:$A,0)),""))</f>
        <v/>
      </c>
    </row>
    <row r="23" spans="1:22">
      <c r="A23" s="13" t="s">
        <v>60</v>
      </c>
      <c r="B23" s="14" t="s">
        <v>104</v>
      </c>
      <c r="C23" s="14" t="s">
        <v>1</v>
      </c>
      <c r="D23" s="14" t="s">
        <v>105</v>
      </c>
      <c r="E23" s="14" t="s">
        <v>109</v>
      </c>
      <c r="F23" s="14" t="s">
        <v>126</v>
      </c>
      <c r="G23" s="14" t="s">
        <v>123</v>
      </c>
      <c r="H23" s="14" t="s">
        <v>107</v>
      </c>
      <c r="I23" s="1" t="str">
        <f>IF($A23="","",IFERROR(INDEX(異動資料源!$G:$G,MATCH($A23,異動資料源!$A:$A,0)),""))</f>
        <v/>
      </c>
      <c r="J23" s="12">
        <f t="shared" si="1"/>
        <v>1</v>
      </c>
      <c r="K23" s="12">
        <f t="array" ref="K23">IF(G23="MLB",1,IF(G23="日職一軍",2,IF(G23="韓職一軍",3,IF(G23="3A",4,IF(G23="2A",5,IF(G23="A+",6,IF(G23="1A",7,IF(G23="RK",8,IF(G23="日職二軍",9,99)))))))))</f>
        <v>8</v>
      </c>
      <c r="L23" s="12" t="str">
        <f t="shared" si="2"/>
        <v>蘇嵐鴻</v>
      </c>
      <c r="M23" s="12">
        <f>IF($A23="","",IFERROR(INDEX(異動資料源!$E:$E,MATCH($A23,異動資料源!$A:$A,0)),""))</f>
        <v>8</v>
      </c>
      <c r="N23" s="12" t="str">
        <f>IF(AND($A23&lt;&gt;"",$H23&lt;&gt;"現役"),COUNTIFS($A$2:$A23,"&lt;&gt;",$H$2:$H23,"&lt;&gt;現役"),"")</f>
        <v/>
      </c>
      <c r="O23" s="12" t="str">
        <f>IF($A23="","",IFERROR(INDEX(異動資料源!$I:$I,MATCH($A23,異動資料源!$A:$A,0)),"現役"))</f>
        <v>現役</v>
      </c>
      <c r="R23" s="12" t="str">
        <f t="shared" si="0"/>
        <v>現役</v>
      </c>
      <c r="S23" s="12" t="str">
        <f>IF($A23="","",IFERROR(INDEX(異動資料源!$M:$M,MATCH($A23,異動資料源!$A:$A,0)),""))</f>
        <v/>
      </c>
      <c r="T23" s="12" t="str">
        <f>IF($S23&lt;&gt;"",SUM($U$2:U23),"")</f>
        <v/>
      </c>
      <c r="U23" s="12" t="str">
        <f>IF($A23="","",IFERROR(INDEX(異動資料源!$N:$N,MATCH($A23,異動資料源!$A:$A,0)),""))</f>
        <v/>
      </c>
      <c r="V23" s="12" t="str">
        <f>IF($A23="","",IFERROR(INDEX(異動資料源!$O:$O,MATCH($A23,異動資料源!$A:$A,0)),""))</f>
        <v/>
      </c>
    </row>
    <row r="24" spans="1:22">
      <c r="A24" s="16" t="s">
        <v>61</v>
      </c>
      <c r="B24" s="17" t="s">
        <v>127</v>
      </c>
      <c r="C24" s="17" t="s">
        <v>1</v>
      </c>
      <c r="D24" s="17" t="s">
        <v>128</v>
      </c>
      <c r="E24" s="17" t="s">
        <v>129</v>
      </c>
      <c r="F24" s="17" t="s">
        <v>130</v>
      </c>
      <c r="G24" s="17" t="s">
        <v>11</v>
      </c>
      <c r="H24" s="17" t="s">
        <v>107</v>
      </c>
      <c r="I24" s="1" t="str">
        <f>IF($A24="","",IFERROR(INDEX(異動資料源!$G:$G,MATCH($A24,異動資料源!$A:$A,0)),""))</f>
        <v/>
      </c>
      <c r="J24" s="12">
        <f t="shared" si="1"/>
        <v>2</v>
      </c>
      <c r="K24" s="12">
        <f t="array" ref="K24">IF(G24="MLB",1,IF(G24="日職一軍",2,IF(G24="韓職一軍",3,IF(G24="3A",4,IF(G24="2A",5,IF(G24="A+",6,IF(G24="1A",7,IF(G24="RK",8,IF(G24="日職二軍",9,99)))))))))</f>
        <v>2</v>
      </c>
      <c r="L24" s="12" t="str">
        <f t="shared" si="2"/>
        <v>宋家豪</v>
      </c>
      <c r="M24" s="12">
        <f>IF($A24="","",IFERROR(INDEX(異動資料源!$E:$E,MATCH($A24,異動資料源!$A:$A,0)),""))</f>
        <v>2</v>
      </c>
      <c r="N24" s="12" t="str">
        <f>IF(AND($A24&lt;&gt;"",$H24&lt;&gt;"現役"),COUNTIFS($A$2:$A24,"&lt;&gt;",$H$2:$H24,"&lt;&gt;現役"),"")</f>
        <v/>
      </c>
      <c r="O24" s="12" t="str">
        <f>IF($A24="","",IFERROR(INDEX(異動資料源!$I:$I,MATCH($A24,異動資料源!$A:$A,0)),"現役"))</f>
        <v>現役</v>
      </c>
      <c r="R24" s="12" t="str">
        <f t="shared" si="0"/>
        <v>現役</v>
      </c>
      <c r="S24" s="12" t="str">
        <f>IF($A24="","",IFERROR(INDEX(異動資料源!$M:$M,MATCH($A24,異動資料源!$A:$A,0)),""))</f>
        <v/>
      </c>
      <c r="T24" s="12" t="str">
        <f>IF($S24&lt;&gt;"",SUM($U$2:U24),"")</f>
        <v/>
      </c>
      <c r="U24" s="12" t="str">
        <f>IF($A24="","",IFERROR(INDEX(異動資料源!$N:$N,MATCH($A24,異動資料源!$A:$A,0)),""))</f>
        <v/>
      </c>
      <c r="V24" s="12" t="str">
        <f>IF($A24="","",IFERROR(INDEX(異動資料源!$O:$O,MATCH($A24,異動資料源!$A:$A,0)),""))</f>
        <v/>
      </c>
    </row>
    <row r="25" spans="1:22">
      <c r="A25" s="16" t="s">
        <v>78</v>
      </c>
      <c r="B25" s="17" t="s">
        <v>127</v>
      </c>
      <c r="C25" s="17" t="s">
        <v>119</v>
      </c>
      <c r="D25" s="17" t="s">
        <v>128</v>
      </c>
      <c r="E25" s="17" t="s">
        <v>129</v>
      </c>
      <c r="F25" s="17" t="s">
        <v>131</v>
      </c>
      <c r="G25" s="17" t="s">
        <v>11</v>
      </c>
      <c r="H25" s="17" t="s">
        <v>107</v>
      </c>
      <c r="I25" s="1" t="str">
        <f>IF($A25="","",IFERROR(INDEX(異動資料源!$G:$G,MATCH($A25,異動資料源!$A:$A,0)),""))</f>
        <v/>
      </c>
      <c r="J25" s="12">
        <f t="shared" si="1"/>
        <v>2</v>
      </c>
      <c r="K25" s="12">
        <f t="array" ref="K25">IF(G25="MLB",1,IF(G25="日職一軍",2,IF(G25="韓職一軍",3,IF(G25="3A",4,IF(G25="2A",5,IF(G25="A+",6,IF(G25="1A",7,IF(G25="RK",8,IF(G25="日職二軍",9,99)))))))))</f>
        <v>2</v>
      </c>
      <c r="L25" s="12" t="str">
        <f t="shared" si="2"/>
        <v>林安可</v>
      </c>
      <c r="M25" s="12">
        <f>IF($A25="","",IFERROR(INDEX(異動資料源!$E:$E,MATCH($A25,異動資料源!$A:$A,0)),""))</f>
        <v>2</v>
      </c>
      <c r="N25" s="12" t="str">
        <f>IF(AND($A25&lt;&gt;"",$H25&lt;&gt;"現役"),COUNTIFS($A$2:$A25,"&lt;&gt;",$H$2:$H25,"&lt;&gt;現役"),"")</f>
        <v/>
      </c>
      <c r="O25" s="12" t="str">
        <f>IF($A25="","",IFERROR(INDEX(異動資料源!$I:$I,MATCH($A25,異動資料源!$A:$A,0)),"現役"))</f>
        <v>現役</v>
      </c>
      <c r="R25" s="12" t="str">
        <f t="shared" si="0"/>
        <v>現役</v>
      </c>
      <c r="S25" s="12" t="str">
        <f>IF($A25="","",IFERROR(INDEX(異動資料源!$M:$M,MATCH($A25,異動資料源!$A:$A,0)),""))</f>
        <v/>
      </c>
      <c r="T25" s="12" t="str">
        <f>IF($S25&lt;&gt;"",SUM($U$2:U25),"")</f>
        <v/>
      </c>
      <c r="U25" s="12" t="str">
        <f>IF($A25="","",IFERROR(INDEX(異動資料源!$N:$N,MATCH($A25,異動資料源!$A:$A,0)),""))</f>
        <v/>
      </c>
      <c r="V25" s="12" t="str">
        <f>IF($A25="","",IFERROR(INDEX(異動資料源!$O:$O,MATCH($A25,異動資料源!$A:$A,0)),""))</f>
        <v/>
      </c>
    </row>
    <row r="26" spans="1:22">
      <c r="A26" s="16" t="s">
        <v>62</v>
      </c>
      <c r="B26" s="17" t="s">
        <v>127</v>
      </c>
      <c r="C26" s="17" t="s">
        <v>1</v>
      </c>
      <c r="D26" s="17" t="s">
        <v>128</v>
      </c>
      <c r="E26" s="17" t="s">
        <v>129</v>
      </c>
      <c r="F26" s="17" t="s">
        <v>132</v>
      </c>
      <c r="G26" s="17" t="s">
        <v>13</v>
      </c>
      <c r="H26" s="17" t="s">
        <v>107</v>
      </c>
      <c r="I26" s="1" t="str">
        <f>IF($A26="","",IFERROR(INDEX(異動資料源!$G:$G,MATCH($A26,異動資料源!$A:$A,0)),""))</f>
        <v/>
      </c>
      <c r="J26" s="12">
        <f t="shared" si="1"/>
        <v>2</v>
      </c>
      <c r="K26" s="12">
        <f t="array" ref="K26">IF(G26="MLB",1,IF(G26="日職一軍",2,IF(G26="韓職一軍",3,IF(G26="3A",4,IF(G26="2A",5,IF(G26="A+",6,IF(G26="1A",7,IF(G26="RK",8,IF(G26="日職二軍",9,99)))))))))</f>
        <v>9</v>
      </c>
      <c r="L26" s="12" t="str">
        <f t="shared" si="2"/>
        <v>古林睿煬</v>
      </c>
      <c r="M26" s="12">
        <f>IF($A26="","",IFERROR(INDEX(異動資料源!$E:$E,MATCH($A26,異動資料源!$A:$A,0)),""))</f>
        <v>9</v>
      </c>
      <c r="N26" s="12" t="str">
        <f>IF(AND($A26&lt;&gt;"",$H26&lt;&gt;"現役"),COUNTIFS($A$2:$A26,"&lt;&gt;",$H$2:$H26,"&lt;&gt;現役"),"")</f>
        <v/>
      </c>
      <c r="O26" s="12" t="str">
        <f>IF($A26="","",IFERROR(INDEX(異動資料源!$I:$I,MATCH($A26,異動資料源!$A:$A,0)),"現役"))</f>
        <v>現役</v>
      </c>
      <c r="R26" s="12" t="str">
        <f t="shared" si="0"/>
        <v>現役</v>
      </c>
      <c r="S26" s="12" t="str">
        <f>IF($A26="","",IFERROR(INDEX(異動資料源!$M:$M,MATCH($A26,異動資料源!$A:$A,0)),""))</f>
        <v/>
      </c>
      <c r="T26" s="12" t="str">
        <f>IF($S26&lt;&gt;"",SUM($U$2:U26),"")</f>
        <v/>
      </c>
      <c r="U26" s="12" t="str">
        <f>IF($A26="","",IFERROR(INDEX(異動資料源!$N:$N,MATCH($A26,異動資料源!$A:$A,0)),""))</f>
        <v/>
      </c>
      <c r="V26" s="12" t="str">
        <f>IF($A26="","",IFERROR(INDEX(異動資料源!$O:$O,MATCH($A26,異動資料源!$A:$A,0)),""))</f>
        <v/>
      </c>
    </row>
    <row r="27" spans="1:22">
      <c r="A27" s="16" t="s">
        <v>79</v>
      </c>
      <c r="B27" s="17" t="s">
        <v>127</v>
      </c>
      <c r="C27" s="17" t="s">
        <v>12</v>
      </c>
      <c r="D27" s="17" t="s">
        <v>128</v>
      </c>
      <c r="E27" s="17" t="s">
        <v>129</v>
      </c>
      <c r="F27" s="17" t="s">
        <v>131</v>
      </c>
      <c r="G27" s="17" t="s">
        <v>13</v>
      </c>
      <c r="H27" s="17" t="s">
        <v>107</v>
      </c>
      <c r="I27" s="1" t="str">
        <f>IF($A27="","",IFERROR(INDEX(異動資料源!$G:$G,MATCH($A27,異動資料源!$A:$A,0)),""))</f>
        <v/>
      </c>
      <c r="J27" s="12">
        <f t="shared" si="1"/>
        <v>2</v>
      </c>
      <c r="K27" s="12">
        <f t="array" ref="K27">IF(G27="MLB",1,IF(G27="日職一軍",2,IF(G27="韓職一軍",3,IF(G27="3A",4,IF(G27="2A",5,IF(G27="A+",6,IF(G27="1A",7,IF(G27="RK",8,IF(G27="日職二軍",9,99)))))))))</f>
        <v>9</v>
      </c>
      <c r="L27" s="12" t="str">
        <f t="shared" si="2"/>
        <v>林冠臣</v>
      </c>
      <c r="M27" s="12">
        <f>IF($A27="","",IFERROR(INDEX(異動資料源!$E:$E,MATCH($A27,異動資料源!$A:$A,0)),""))</f>
        <v>9</v>
      </c>
      <c r="N27" s="12" t="str">
        <f>IF(AND($A27&lt;&gt;"",$H27&lt;&gt;"現役"),COUNTIFS($A$2:$A27,"&lt;&gt;",$H$2:$H27,"&lt;&gt;現役"),"")</f>
        <v/>
      </c>
      <c r="O27" s="12" t="str">
        <f>IF($A27="","",IFERROR(INDEX(異動資料源!$I:$I,MATCH($A27,異動資料源!$A:$A,0)),"現役"))</f>
        <v>現役</v>
      </c>
      <c r="R27" s="12" t="str">
        <f t="shared" si="0"/>
        <v>現役</v>
      </c>
      <c r="S27" s="12" t="str">
        <f>IF($A27="","",IFERROR(INDEX(異動資料源!$M:$M,MATCH($A27,異動資料源!$A:$A,0)),""))</f>
        <v/>
      </c>
      <c r="T27" s="12" t="str">
        <f>IF($S27&lt;&gt;"",SUM($U$2:U27),"")</f>
        <v/>
      </c>
      <c r="U27" s="12" t="str">
        <f>IF($A27="","",IFERROR(INDEX(異動資料源!$N:$N,MATCH($A27,異動資料源!$A:$A,0)),""))</f>
        <v/>
      </c>
      <c r="V27" s="12" t="str">
        <f>IF($A27="","",IFERROR(INDEX(異動資料源!$O:$O,MATCH($A27,異動資料源!$A:$A,0)),""))</f>
        <v/>
      </c>
    </row>
    <row r="28" spans="1:22">
      <c r="A28" s="16" t="s">
        <v>80</v>
      </c>
      <c r="B28" s="17" t="s">
        <v>127</v>
      </c>
      <c r="C28" s="17" t="s">
        <v>133</v>
      </c>
      <c r="D28" s="17" t="s">
        <v>128</v>
      </c>
      <c r="E28" s="17" t="s">
        <v>129</v>
      </c>
      <c r="F28" s="17" t="s">
        <v>132</v>
      </c>
      <c r="G28" s="17" t="s">
        <v>13</v>
      </c>
      <c r="H28" s="17" t="s">
        <v>107</v>
      </c>
      <c r="I28" s="1" t="str">
        <f>IF($A28="","",IFERROR(INDEX(異動資料源!$G:$G,MATCH($A28,異動資料源!$A:$A,0)),""))</f>
        <v/>
      </c>
      <c r="J28" s="12">
        <f t="shared" si="1"/>
        <v>2</v>
      </c>
      <c r="K28" s="12">
        <f t="array" ref="K28">IF(G28="MLB",1,IF(G28="日職一軍",2,IF(G28="韓職一軍",3,IF(G28="3A",4,IF(G28="2A",5,IF(G28="A+",6,IF(G28="1A",7,IF(G28="RK",8,IF(G28="日職二軍",9,99)))))))))</f>
        <v>9</v>
      </c>
      <c r="L28" s="12" t="str">
        <f t="shared" si="2"/>
        <v>林家正</v>
      </c>
      <c r="M28" s="12">
        <f>IF($A28="","",IFERROR(INDEX(異動資料源!$E:$E,MATCH($A28,異動資料源!$A:$A,0)),""))</f>
        <v>9</v>
      </c>
      <c r="N28" s="12" t="str">
        <f>IF(AND($A28&lt;&gt;"",$H28&lt;&gt;"現役"),COUNTIFS($A$2:$A28,"&lt;&gt;",$H$2:$H28,"&lt;&gt;現役"),"")</f>
        <v/>
      </c>
      <c r="O28" s="12" t="str">
        <f>IF($A28="","",IFERROR(INDEX(異動資料源!$I:$I,MATCH($A28,異動資料源!$A:$A,0)),"現役"))</f>
        <v>現役</v>
      </c>
      <c r="R28" s="12" t="str">
        <f t="shared" si="0"/>
        <v>現役</v>
      </c>
      <c r="S28" s="12" t="str">
        <f>IF($A28="","",IFERROR(INDEX(異動資料源!$M:$M,MATCH($A28,異動資料源!$A:$A,0)),""))</f>
        <v/>
      </c>
      <c r="T28" s="12" t="str">
        <f>IF($S28&lt;&gt;"",SUM($U$2:U28),"")</f>
        <v/>
      </c>
      <c r="U28" s="12" t="str">
        <f>IF($A28="","",IFERROR(INDEX(異動資料源!$N:$N,MATCH($A28,異動資料源!$A:$A,0)),""))</f>
        <v/>
      </c>
      <c r="V28" s="12" t="str">
        <f>IF($A28="","",IFERROR(INDEX(異動資料源!$O:$O,MATCH($A28,異動資料源!$A:$A,0)),""))</f>
        <v/>
      </c>
    </row>
    <row r="29" spans="1:22">
      <c r="A29" s="16" t="s">
        <v>63</v>
      </c>
      <c r="B29" s="17" t="s">
        <v>127</v>
      </c>
      <c r="C29" s="17" t="s">
        <v>1</v>
      </c>
      <c r="D29" s="17" t="s">
        <v>128</v>
      </c>
      <c r="E29" s="17" t="s">
        <v>129</v>
      </c>
      <c r="F29" s="17" t="s">
        <v>132</v>
      </c>
      <c r="G29" s="17" t="s">
        <v>13</v>
      </c>
      <c r="H29" s="17" t="s">
        <v>107</v>
      </c>
      <c r="I29" s="1" t="str">
        <f>IF($A29="","",IFERROR(INDEX(異動資料源!$G:$G,MATCH($A29,異動資料源!$A:$A,0)),""))</f>
        <v/>
      </c>
      <c r="J29" s="12">
        <f t="shared" si="1"/>
        <v>2</v>
      </c>
      <c r="K29" s="12">
        <f t="array" ref="K29">IF(G29="MLB",1,IF(G29="日職一軍",2,IF(G29="韓職一軍",3,IF(G29="3A",4,IF(G29="2A",5,IF(G29="A+",6,IF(G29="1A",7,IF(G29="RK",8,IF(G29="日職二軍",9,99)))))))))</f>
        <v>9</v>
      </c>
      <c r="L29" s="12" t="str">
        <f t="shared" si="2"/>
        <v>孫易磊</v>
      </c>
      <c r="M29" s="12">
        <f>IF($A29="","",IFERROR(INDEX(異動資料源!$E:$E,MATCH($A29,異動資料源!$A:$A,0)),""))</f>
        <v>9</v>
      </c>
      <c r="N29" s="12" t="str">
        <f>IF(AND($A29&lt;&gt;"",$H29&lt;&gt;"現役"),COUNTIFS($A$2:$A29,"&lt;&gt;",$H$2:$H29,"&lt;&gt;現役"),"")</f>
        <v/>
      </c>
      <c r="O29" s="12" t="str">
        <f>IF($A29="","",IFERROR(INDEX(異動資料源!$I:$I,MATCH($A29,異動資料源!$A:$A,0)),"現役"))</f>
        <v>現役</v>
      </c>
      <c r="R29" s="12" t="str">
        <f t="shared" si="0"/>
        <v>現役</v>
      </c>
      <c r="S29" s="12" t="str">
        <f>IF($A29="","",IFERROR(INDEX(異動資料源!$M:$M,MATCH($A29,異動資料源!$A:$A,0)),""))</f>
        <v/>
      </c>
      <c r="T29" s="12" t="str">
        <f>IF($S29&lt;&gt;"",SUM($U$2:U29),"")</f>
        <v/>
      </c>
      <c r="U29" s="12" t="str">
        <f>IF($A29="","",IFERROR(INDEX(異動資料源!$N:$N,MATCH($A29,異動資料源!$A:$A,0)),""))</f>
        <v/>
      </c>
      <c r="V29" s="12" t="str">
        <f>IF($A29="","",IFERROR(INDEX(異動資料源!$O:$O,MATCH($A29,異動資料源!$A:$A,0)),""))</f>
        <v/>
      </c>
    </row>
    <row r="30" spans="1:22">
      <c r="A30" s="16" t="s">
        <v>64</v>
      </c>
      <c r="B30" s="17" t="s">
        <v>127</v>
      </c>
      <c r="C30" s="17" t="s">
        <v>1</v>
      </c>
      <c r="D30" s="17" t="s">
        <v>128</v>
      </c>
      <c r="E30" s="17" t="s">
        <v>129</v>
      </c>
      <c r="F30" s="17" t="s">
        <v>134</v>
      </c>
      <c r="G30" s="17" t="s">
        <v>13</v>
      </c>
      <c r="H30" s="17" t="s">
        <v>107</v>
      </c>
      <c r="I30" s="1" t="str">
        <f>IF($A30="","",IFERROR(INDEX(異動資料源!$G:$G,MATCH($A30,異動資料源!$A:$A,0)),""))</f>
        <v/>
      </c>
      <c r="J30" s="12">
        <f t="shared" si="1"/>
        <v>2</v>
      </c>
      <c r="K30" s="12">
        <f t="array" ref="K30">IF(G30="MLB",1,IF(G30="日職一軍",2,IF(G30="韓職一軍",3,IF(G30="3A",4,IF(G30="2A",5,IF(G30="A+",6,IF(G30="1A",7,IF(G30="RK",8,IF(G30="日職二軍",9,99)))))))))</f>
        <v>9</v>
      </c>
      <c r="L30" s="12" t="str">
        <f t="shared" si="2"/>
        <v>徐若熙</v>
      </c>
      <c r="M30" s="12">
        <f>IF($A30="","",IFERROR(INDEX(異動資料源!$E:$E,MATCH($A30,異動資料源!$A:$A,0)),""))</f>
        <v>9</v>
      </c>
      <c r="N30" s="12" t="str">
        <f>IF(AND($A30&lt;&gt;"",$H30&lt;&gt;"現役"),COUNTIFS($A$2:$A30,"&lt;&gt;",$H$2:$H30,"&lt;&gt;現役"),"")</f>
        <v/>
      </c>
      <c r="O30" s="12" t="str">
        <f>IF($A30="","",IFERROR(INDEX(異動資料源!$I:$I,MATCH($A30,異動資料源!$A:$A,0)),"現役"))</f>
        <v>現役</v>
      </c>
      <c r="R30" s="12" t="str">
        <f t="shared" si="0"/>
        <v>現役</v>
      </c>
      <c r="S30" s="12" t="str">
        <f>IF($A30="","",IFERROR(INDEX(異動資料源!$M:$M,MATCH($A30,異動資料源!$A:$A,0)),""))</f>
        <v/>
      </c>
      <c r="T30" s="12" t="str">
        <f>IF($S30&lt;&gt;"",SUM($U$2:U30),"")</f>
        <v/>
      </c>
      <c r="U30" s="12" t="str">
        <f>IF($A30="","",IFERROR(INDEX(異動資料源!$N:$N,MATCH($A30,異動資料源!$A:$A,0)),""))</f>
        <v/>
      </c>
      <c r="V30" s="12" t="str">
        <f>IF($A30="","",IFERROR(INDEX(異動資料源!$O:$O,MATCH($A30,異動資料源!$A:$A,0)),""))</f>
        <v/>
      </c>
    </row>
    <row r="31" spans="1:22">
      <c r="A31" s="16" t="s">
        <v>65</v>
      </c>
      <c r="B31" s="17" t="s">
        <v>127</v>
      </c>
      <c r="C31" s="17" t="s">
        <v>1</v>
      </c>
      <c r="D31" s="17" t="s">
        <v>128</v>
      </c>
      <c r="E31" s="17" t="s">
        <v>129</v>
      </c>
      <c r="F31" s="17" t="s">
        <v>135</v>
      </c>
      <c r="G31" s="17" t="s">
        <v>13</v>
      </c>
      <c r="H31" s="17" t="s">
        <v>107</v>
      </c>
      <c r="I31" s="1" t="str">
        <f>IF($A31="","",IFERROR(INDEX(異動資料源!$G:$G,MATCH($A31,異動資料源!$A:$A,0)),""))</f>
        <v/>
      </c>
      <c r="J31" s="12">
        <f t="shared" si="1"/>
        <v>2</v>
      </c>
      <c r="K31" s="12">
        <f t="array" ref="K31">IF(G31="MLB",1,IF(G31="日職一軍",2,IF(G31="韓職一軍",3,IF(G31="3A",4,IF(G31="2A",5,IF(G31="A+",6,IF(G31="1A",7,IF(G31="RK",8,IF(G31="日職二軍",9,99)))))))))</f>
        <v>9</v>
      </c>
      <c r="L31" s="12" t="str">
        <f t="shared" si="2"/>
        <v>徐翔聖</v>
      </c>
      <c r="M31" s="12">
        <f>IF($A31="","",IFERROR(INDEX(異動資料源!$E:$E,MATCH($A31,異動資料源!$A:$A,0)),""))</f>
        <v>9</v>
      </c>
      <c r="N31" s="12" t="str">
        <f>IF(AND($A31&lt;&gt;"",$H31&lt;&gt;"現役"),COUNTIFS($A$2:$A31,"&lt;&gt;",$H$2:$H31,"&lt;&gt;現役"),"")</f>
        <v/>
      </c>
      <c r="O31" s="12" t="str">
        <f>IF($A31="","",IFERROR(INDEX(異動資料源!$I:$I,MATCH($A31,異動資料源!$A:$A,0)),"現役"))</f>
        <v>現役</v>
      </c>
      <c r="R31" s="12" t="str">
        <f t="shared" si="0"/>
        <v>現役</v>
      </c>
      <c r="S31" s="12" t="str">
        <f>IF($A31="","",IFERROR(INDEX(異動資料源!$M:$M,MATCH($A31,異動資料源!$A:$A,0)),""))</f>
        <v/>
      </c>
      <c r="T31" s="12" t="str">
        <f>IF($S31&lt;&gt;"",SUM($U$2:U31),"")</f>
        <v/>
      </c>
      <c r="U31" s="12" t="str">
        <f>IF($A31="","",IFERROR(INDEX(異動資料源!$N:$N,MATCH($A31,異動資料源!$A:$A,0)),""))</f>
        <v/>
      </c>
      <c r="V31" s="12" t="str">
        <f>IF($A31="","",IFERROR(INDEX(異動資料源!$O:$O,MATCH($A31,異動資料源!$A:$A,0)),""))</f>
        <v/>
      </c>
    </row>
    <row r="32" spans="1:22">
      <c r="A32" s="16" t="s">
        <v>66</v>
      </c>
      <c r="B32" s="17" t="s">
        <v>127</v>
      </c>
      <c r="C32" s="17" t="s">
        <v>1</v>
      </c>
      <c r="D32" s="17" t="s">
        <v>128</v>
      </c>
      <c r="E32" s="17" t="s">
        <v>129</v>
      </c>
      <c r="F32" s="17" t="s">
        <v>134</v>
      </c>
      <c r="G32" s="17" t="s">
        <v>13</v>
      </c>
      <c r="H32" s="17" t="s">
        <v>107</v>
      </c>
      <c r="I32" s="1" t="str">
        <f>IF($A32="","",IFERROR(INDEX(異動資料源!$G:$G,MATCH($A32,異動資料源!$A:$A,0)),""))</f>
        <v/>
      </c>
      <c r="J32" s="12">
        <f t="shared" si="1"/>
        <v>2</v>
      </c>
      <c r="K32" s="12">
        <f t="array" ref="K32">IF(G32="MLB",1,IF(G32="日職一軍",2,IF(G32="韓職一軍",3,IF(G32="3A",4,IF(G32="2A",5,IF(G32="A+",6,IF(G32="1A",7,IF(G32="RK",8,IF(G32="日職二軍",9,99)))))))))</f>
        <v>9</v>
      </c>
      <c r="L32" s="12" t="str">
        <f t="shared" si="2"/>
        <v>張峻瑋</v>
      </c>
      <c r="M32" s="12">
        <f>IF($A32="","",IFERROR(INDEX(異動資料源!$E:$E,MATCH($A32,異動資料源!$A:$A,0)),""))</f>
        <v>9</v>
      </c>
      <c r="N32" s="12" t="str">
        <f>IF(AND($A32&lt;&gt;"",$H32&lt;&gt;"現役"),COUNTIFS($A$2:$A32,"&lt;&gt;",$H$2:$H32,"&lt;&gt;現役"),"")</f>
        <v/>
      </c>
      <c r="O32" s="12" t="str">
        <f>IF($A32="","",IFERROR(INDEX(異動資料源!$I:$I,MATCH($A32,異動資料源!$A:$A,0)),"現役"))</f>
        <v>現役</v>
      </c>
      <c r="R32" s="12" t="str">
        <f t="shared" si="0"/>
        <v>現役</v>
      </c>
      <c r="S32" s="12" t="str">
        <f>IF($A32="","",IFERROR(INDEX(異動資料源!$M:$M,MATCH($A32,異動資料源!$A:$A,0)),""))</f>
        <v/>
      </c>
      <c r="T32" s="12" t="str">
        <f>IF($S32&lt;&gt;"",SUM($U$2:U32),"")</f>
        <v/>
      </c>
      <c r="U32" s="12" t="str">
        <f>IF($A32="","",IFERROR(INDEX(異動資料源!$N:$N,MATCH($A32,異動資料源!$A:$A,0)),""))</f>
        <v/>
      </c>
      <c r="V32" s="12" t="str">
        <f>IF($A32="","",IFERROR(INDEX(異動資料源!$O:$O,MATCH($A32,異動資料源!$A:$A,0)),""))</f>
        <v/>
      </c>
    </row>
    <row r="33" spans="1:22">
      <c r="A33" s="16" t="s">
        <v>67</v>
      </c>
      <c r="B33" s="17" t="s">
        <v>127</v>
      </c>
      <c r="C33" s="17" t="s">
        <v>1</v>
      </c>
      <c r="D33" s="17" t="s">
        <v>128</v>
      </c>
      <c r="E33" s="17" t="s">
        <v>129</v>
      </c>
      <c r="F33" s="17" t="s">
        <v>136</v>
      </c>
      <c r="G33" s="17" t="s">
        <v>13</v>
      </c>
      <c r="H33" s="17" t="s">
        <v>107</v>
      </c>
      <c r="I33" s="1" t="str">
        <f>IF($A33="","",IFERROR(INDEX(異動資料源!$G:$G,MATCH($A33,異動資料源!$A:$A,0)),""))</f>
        <v/>
      </c>
      <c r="J33" s="12">
        <f t="shared" si="1"/>
        <v>2</v>
      </c>
      <c r="K33" s="12">
        <f t="array" ref="K33">IF(G33="MLB",1,IF(G33="日職一軍",2,IF(G33="韓職一軍",3,IF(G33="3A",4,IF(G33="2A",5,IF(G33="A+",6,IF(G33="1A",7,IF(G33="RK",8,IF(G33="日職二軍",9,99)))))))))</f>
        <v>9</v>
      </c>
      <c r="L33" s="12" t="str">
        <f t="shared" si="2"/>
        <v>陳睦衡</v>
      </c>
      <c r="M33" s="12">
        <f>IF($A33="","",IFERROR(INDEX(異動資料源!$E:$E,MATCH($A33,異動資料源!$A:$A,0)),""))</f>
        <v>9</v>
      </c>
      <c r="N33" s="12" t="str">
        <f>IF(AND($A33&lt;&gt;"",$H33&lt;&gt;"現役"),COUNTIFS($A$2:$A33,"&lt;&gt;",$H$2:$H33,"&lt;&gt;現役"),"")</f>
        <v/>
      </c>
      <c r="O33" s="12" t="str">
        <f>IF($A33="","",IFERROR(INDEX(異動資料源!$I:$I,MATCH($A33,異動資料源!$A:$A,0)),"現役"))</f>
        <v>現役</v>
      </c>
      <c r="R33" s="12" t="str">
        <f t="shared" si="0"/>
        <v>現役</v>
      </c>
      <c r="S33" s="12" t="str">
        <f>IF($A33="","",IFERROR(INDEX(異動資料源!$M:$M,MATCH($A33,異動資料源!$A:$A,0)),""))</f>
        <v/>
      </c>
      <c r="T33" s="12" t="str">
        <f>IF($S33&lt;&gt;"",SUM($U$2:U33),"")</f>
        <v/>
      </c>
      <c r="U33" s="12" t="str">
        <f>IF($A33="","",IFERROR(INDEX(異動資料源!$N:$N,MATCH($A33,異動資料源!$A:$A,0)),""))</f>
        <v/>
      </c>
      <c r="V33" s="12" t="str">
        <f>IF($A33="","",IFERROR(INDEX(異動資料源!$O:$O,MATCH($A33,異動資料源!$A:$A,0)),""))</f>
        <v/>
      </c>
    </row>
    <row r="34" spans="1:22">
      <c r="A34" s="16" t="s">
        <v>81</v>
      </c>
      <c r="B34" s="17" t="s">
        <v>127</v>
      </c>
      <c r="C34" s="17" t="s">
        <v>125</v>
      </c>
      <c r="D34" s="17" t="s">
        <v>128</v>
      </c>
      <c r="E34" s="17" t="s">
        <v>129</v>
      </c>
      <c r="F34" s="17" t="s">
        <v>130</v>
      </c>
      <c r="G34" s="17" t="s">
        <v>13</v>
      </c>
      <c r="H34" s="17" t="s">
        <v>107</v>
      </c>
      <c r="I34" s="1" t="str">
        <f>IF($A34="","",IFERROR(INDEX(異動資料源!$G:$G,MATCH($A34,異動資料源!$A:$A,0)),""))</f>
        <v/>
      </c>
      <c r="J34" s="12">
        <f t="shared" si="1"/>
        <v>2</v>
      </c>
      <c r="K34" s="12">
        <f t="array" ref="K34">IF(G34="MLB",1,IF(G34="日職一軍",2,IF(G34="韓職一軍",3,IF(G34="3A",4,IF(G34="2A",5,IF(G34="A+",6,IF(G34="1A",7,IF(G34="RK",8,IF(G34="日職二軍",9,99)))))))))</f>
        <v>9</v>
      </c>
      <c r="L34" s="12" t="str">
        <f t="shared" si="2"/>
        <v>陽柏翔</v>
      </c>
      <c r="M34" s="12">
        <f>IF($A34="","",IFERROR(INDEX(異動資料源!$E:$E,MATCH($A34,異動資料源!$A:$A,0)),""))</f>
        <v>9</v>
      </c>
      <c r="N34" s="12" t="str">
        <f>IF(AND($A34&lt;&gt;"",$H34&lt;&gt;"現役"),COUNTIFS($A$2:$A34,"&lt;&gt;",$H$2:$H34,"&lt;&gt;現役"),"")</f>
        <v/>
      </c>
      <c r="O34" s="12" t="str">
        <f>IF($A34="","",IFERROR(INDEX(異動資料源!$I:$I,MATCH($A34,異動資料源!$A:$A,0)),"現役"))</f>
        <v>現役</v>
      </c>
      <c r="R34" s="12" t="str">
        <f t="shared" si="0"/>
        <v>現役</v>
      </c>
      <c r="S34" s="12" t="str">
        <f>IF($A34="","",IFERROR(INDEX(異動資料源!$M:$M,MATCH($A34,異動資料源!$A:$A,0)),""))</f>
        <v/>
      </c>
      <c r="T34" s="12" t="str">
        <f>IF($S34&lt;&gt;"",SUM($U$2:U34),"")</f>
        <v/>
      </c>
      <c r="U34" s="12" t="str">
        <f>IF($A34="","",IFERROR(INDEX(異動資料源!$N:$N,MATCH($A34,異動資料源!$A:$A,0)),""))</f>
        <v/>
      </c>
      <c r="V34" s="12" t="str">
        <f>IF($A34="","",IFERROR(INDEX(異動資料源!$O:$O,MATCH($A34,異動資料源!$A:$A,0)),""))</f>
        <v/>
      </c>
    </row>
    <row r="35" spans="1:22">
      <c r="A35" s="16" t="s">
        <v>68</v>
      </c>
      <c r="B35" s="17" t="s">
        <v>127</v>
      </c>
      <c r="C35" s="17" t="s">
        <v>1</v>
      </c>
      <c r="D35" s="17" t="s">
        <v>128</v>
      </c>
      <c r="E35" s="17" t="s">
        <v>129</v>
      </c>
      <c r="F35" s="17" t="s">
        <v>137</v>
      </c>
      <c r="G35" s="17" t="s">
        <v>13</v>
      </c>
      <c r="H35" s="17" t="s">
        <v>107</v>
      </c>
      <c r="I35" s="1" t="str">
        <f>IF($A35="","",IFERROR(INDEX(異動資料源!$G:$G,MATCH($A35,異動資料源!$A:$A,0)),""))</f>
        <v/>
      </c>
      <c r="J35" s="12">
        <f t="shared" si="1"/>
        <v>2</v>
      </c>
      <c r="K35" s="12">
        <f t="array" ref="K35">IF(G35="MLB",1,IF(G35="日職一軍",2,IF(G35="韓職一軍",3,IF(G35="3A",4,IF(G35="2A",5,IF(G35="A+",6,IF(G35="1A",7,IF(G35="RK",8,IF(G35="日職二軍",9,99)))))))))</f>
        <v>9</v>
      </c>
      <c r="L35" s="12" t="str">
        <f t="shared" si="2"/>
        <v>黃錦豪</v>
      </c>
      <c r="M35" s="12">
        <f>IF($A35="","",IFERROR(INDEX(異動資料源!$E:$E,MATCH($A35,異動資料源!$A:$A,0)),""))</f>
        <v>9</v>
      </c>
      <c r="N35" s="12" t="str">
        <f>IF(AND($A35&lt;&gt;"",$H35&lt;&gt;"現役"),COUNTIFS($A$2:$A35,"&lt;&gt;",$H$2:$H35,"&lt;&gt;現役"),"")</f>
        <v/>
      </c>
      <c r="O35" s="12" t="str">
        <f>IF($A35="","",IFERROR(INDEX(異動資料源!$I:$I,MATCH($A35,異動資料源!$A:$A,0)),"現役"))</f>
        <v>現役</v>
      </c>
      <c r="R35" s="12" t="str">
        <f t="shared" si="0"/>
        <v>現役</v>
      </c>
      <c r="S35" s="12" t="str">
        <f>IF($A35="","",IFERROR(INDEX(異動資料源!$M:$M,MATCH($A35,異動資料源!$A:$A,0)),""))</f>
        <v/>
      </c>
      <c r="T35" s="12" t="str">
        <f>IF($S35&lt;&gt;"",SUM($U$2:U35),"")</f>
        <v/>
      </c>
      <c r="U35" s="12" t="str">
        <f>IF($A35="","",IFERROR(INDEX(異動資料源!$N:$N,MATCH($A35,異動資料源!$A:$A,0)),""))</f>
        <v/>
      </c>
      <c r="V35" s="12" t="str">
        <f>IF($A35="","",IFERROR(INDEX(異動資料源!$O:$O,MATCH($A35,異動資料源!$A:$A,0)),""))</f>
        <v/>
      </c>
    </row>
    <row r="36" spans="1:22">
      <c r="A36" s="16" t="s">
        <v>69</v>
      </c>
      <c r="B36" s="17" t="s">
        <v>127</v>
      </c>
      <c r="C36" s="17" t="s">
        <v>1</v>
      </c>
      <c r="D36" s="17" t="s">
        <v>128</v>
      </c>
      <c r="E36" s="17" t="s">
        <v>129</v>
      </c>
      <c r="F36" s="17" t="s">
        <v>130</v>
      </c>
      <c r="G36" s="17" t="s">
        <v>13</v>
      </c>
      <c r="H36" s="17" t="s">
        <v>107</v>
      </c>
      <c r="I36" s="1" t="str">
        <f>IF($A36="","",IFERROR(INDEX(異動資料源!$G:$G,MATCH($A36,異動資料源!$A:$A,0)),""))</f>
        <v/>
      </c>
      <c r="J36" s="12">
        <f t="shared" si="1"/>
        <v>2</v>
      </c>
      <c r="K36" s="12">
        <f t="array" ref="K36">IF(G36="MLB",1,IF(G36="日職一軍",2,IF(G36="韓職一軍",3,IF(G36="3A",4,IF(G36="2A",5,IF(G36="A+",6,IF(G36="1A",7,IF(G36="RK",8,IF(G36="日職二軍",9,99)))))))))</f>
        <v>9</v>
      </c>
      <c r="L36" s="12" t="str">
        <f t="shared" si="2"/>
        <v>蕭齊</v>
      </c>
      <c r="M36" s="12">
        <f>IF($A36="","",IFERROR(INDEX(異動資料源!$E:$E,MATCH($A36,異動資料源!$A:$A,0)),""))</f>
        <v>9</v>
      </c>
      <c r="N36" s="12" t="str">
        <f>IF(AND($A36&lt;&gt;"",$H36&lt;&gt;"現役"),COUNTIFS($A$2:$A36,"&lt;&gt;",$H$2:$H36,"&lt;&gt;現役"),"")</f>
        <v/>
      </c>
      <c r="O36" s="12" t="str">
        <f>IF($A36="","",IFERROR(INDEX(異動資料源!$I:$I,MATCH($A36,異動資料源!$A:$A,0)),"現役"))</f>
        <v>現役</v>
      </c>
      <c r="R36" s="12" t="str">
        <f t="shared" si="0"/>
        <v>現役</v>
      </c>
      <c r="S36" s="12" t="str">
        <f>IF($A36="","",IFERROR(INDEX(異動資料源!$M:$M,MATCH($A36,異動資料源!$A:$A,0)),""))</f>
        <v/>
      </c>
      <c r="T36" s="12" t="str">
        <f>IF($S36&lt;&gt;"",SUM($U$2:U36),"")</f>
        <v/>
      </c>
      <c r="U36" s="12" t="str">
        <f>IF($A36="","",IFERROR(INDEX(異動資料源!$N:$N,MATCH($A36,異動資料源!$A:$A,0)),""))</f>
        <v/>
      </c>
      <c r="V36" s="12" t="str">
        <f>IF($A36="","",IFERROR(INDEX(異動資料源!$O:$O,MATCH($A36,異動資料源!$A:$A,0)),""))</f>
        <v/>
      </c>
    </row>
    <row r="37" spans="1:22">
      <c r="A37" s="18" t="s">
        <v>70</v>
      </c>
      <c r="B37" s="19" t="s">
        <v>138</v>
      </c>
      <c r="C37" s="19" t="s">
        <v>1</v>
      </c>
      <c r="D37" s="19" t="s">
        <v>139</v>
      </c>
      <c r="E37" s="19" t="s">
        <v>140</v>
      </c>
      <c r="F37" s="19" t="s">
        <v>141</v>
      </c>
      <c r="G37" s="19" t="s">
        <v>142</v>
      </c>
      <c r="H37" s="19" t="s">
        <v>107</v>
      </c>
      <c r="I37" s="1" t="str">
        <f>IF($A37="","",IFERROR(INDEX(異動資料源!$G:$G,MATCH($A37,異動資料源!$A:$A,0)),""))</f>
        <v/>
      </c>
      <c r="J37" s="12">
        <f t="shared" si="1"/>
        <v>3</v>
      </c>
      <c r="K37" s="12">
        <f t="array" ref="K37">IF(G37="MLB",1,IF(G37="日職一軍",2,IF(G37="韓職一軍",3,IF(G37="3A",4,IF(G37="2A",5,IF(G37="A+",6,IF(G37="1A",7,IF(G37="RK",8,IF(G37="日職二軍",9,99)))))))))</f>
        <v>3</v>
      </c>
      <c r="L37" s="12" t="str">
        <f t="shared" si="2"/>
        <v>王彥程</v>
      </c>
      <c r="M37" s="12">
        <f>IF($A37="","",IFERROR(INDEX(異動資料源!$E:$E,MATCH($A37,異動資料源!$A:$A,0)),""))</f>
        <v>3</v>
      </c>
      <c r="N37" s="12" t="str">
        <f>IF(AND($A37&lt;&gt;"",$H37&lt;&gt;"現役"),COUNTIFS($A$2:$A37,"&lt;&gt;",$H$2:$H37,"&lt;&gt;現役"),"")</f>
        <v/>
      </c>
      <c r="O37" s="12" t="str">
        <f>IF($A37="","",IFERROR(INDEX(異動資料源!$I:$I,MATCH($A37,異動資料源!$A:$A,0)),"現役"))</f>
        <v>現役</v>
      </c>
      <c r="R37" s="12" t="str">
        <f t="shared" si="0"/>
        <v>現役</v>
      </c>
      <c r="S37" s="12" t="str">
        <f>IF($A37="","",IFERROR(INDEX(異動資料源!$M:$M,MATCH($A37,異動資料源!$A:$A,0)),""))</f>
        <v/>
      </c>
      <c r="T37" s="12" t="str">
        <f>IF($S37&lt;&gt;"",SUM($U$2:U37),"")</f>
        <v/>
      </c>
      <c r="U37" s="12" t="str">
        <f>IF($A37="","",IFERROR(INDEX(異動資料源!$N:$N,MATCH($A37,異動資料源!$A:$A,0)),""))</f>
        <v/>
      </c>
      <c r="V37" s="12" t="str">
        <f>IF($A37="","",IFERROR(INDEX(異動資料源!$O:$O,MATCH($A37,異動資料源!$A:$A,0)),""))</f>
        <v/>
      </c>
    </row>
    <row r="38" spans="1:22">
      <c r="A38" s="20" t="s">
        <v>82</v>
      </c>
      <c r="B38" s="21" t="s">
        <v>143</v>
      </c>
      <c r="C38" s="21" t="s">
        <v>119</v>
      </c>
      <c r="D38" s="21" t="s">
        <v>105</v>
      </c>
      <c r="E38" s="21" t="s">
        <v>5</v>
      </c>
      <c r="F38" s="21" t="s">
        <v>144</v>
      </c>
      <c r="G38" s="21" t="s">
        <v>5</v>
      </c>
      <c r="H38" s="21" t="s">
        <v>107</v>
      </c>
      <c r="I38" s="1" t="str">
        <f>IF($A38="","",IFERROR(INDEX(異動資料源!$G:$G,MATCH($A38,異動資料源!$A:$A,0)),""))</f>
        <v/>
      </c>
      <c r="J38" s="12">
        <f t="shared" si="1"/>
        <v>5</v>
      </c>
      <c r="K38" s="12">
        <f t="array" ref="K38">IF(G38="MLB",1,IF(G38="日職一軍",2,IF(G38="韓職一軍",3,IF(G38="3A",4,IF(G38="2A",5,IF(G38="A+",6,IF(G38="1A",7,IF(G38="RK",8,IF(G38="日職二軍",9,99)))))))))</f>
        <v>1</v>
      </c>
      <c r="L38" s="12" t="str">
        <f t="shared" si="2"/>
        <v>Corbin Carroll</v>
      </c>
      <c r="M38" s="12">
        <f>IF($A38="","",IFERROR(INDEX(異動資料源!$E:$E,MATCH($A38,異動資料源!$A:$A,0)),""))</f>
        <v>1</v>
      </c>
      <c r="N38" s="12" t="str">
        <f>IF(AND($A38&lt;&gt;"",$H38&lt;&gt;"現役"),COUNTIFS($A$2:$A38,"&lt;&gt;",$H$2:$H38,"&lt;&gt;現役"),"")</f>
        <v/>
      </c>
      <c r="O38" s="12" t="str">
        <f>IF($A38="","",IFERROR(INDEX(異動資料源!$I:$I,MATCH($A38,異動資料源!$A:$A,0)),"現役"))</f>
        <v>現役</v>
      </c>
      <c r="R38" s="12" t="str">
        <f t="shared" si="0"/>
        <v>現役</v>
      </c>
      <c r="S38" s="12" t="str">
        <f>IF($A38="","",IFERROR(INDEX(異動資料源!$M:$M,MATCH($A38,異動資料源!$A:$A,0)),""))</f>
        <v/>
      </c>
      <c r="T38" s="12" t="str">
        <f>IF($S38&lt;&gt;"",SUM($U$2:U38),"")</f>
        <v/>
      </c>
      <c r="U38" s="12" t="str">
        <f>IF($A38="","",IFERROR(INDEX(異動資料源!$N:$N,MATCH($A38,異動資料源!$A:$A,0)),""))</f>
        <v/>
      </c>
      <c r="V38" s="12" t="str">
        <f>IF($A38="","",IFERROR(INDEX(異動資料源!$O:$O,MATCH($A38,異動資料源!$A:$A,0)),""))</f>
        <v/>
      </c>
    </row>
    <row r="39" spans="1:22">
      <c r="A39" s="22" t="s">
        <v>84</v>
      </c>
      <c r="B39" s="23" t="s">
        <v>143</v>
      </c>
      <c r="C39" s="23" t="s">
        <v>125</v>
      </c>
      <c r="D39" s="23" t="s">
        <v>105</v>
      </c>
      <c r="E39" s="23" t="s">
        <v>109</v>
      </c>
      <c r="F39" s="23" t="s">
        <v>145</v>
      </c>
      <c r="G39" s="23" t="s">
        <v>6</v>
      </c>
      <c r="H39" s="23" t="s">
        <v>107</v>
      </c>
      <c r="I39" s="1" t="str">
        <f>IF($A39="","",IFERROR(INDEX(異動資料源!$G:$G,MATCH($A39,異動資料源!$A:$A,0)),""))</f>
        <v/>
      </c>
      <c r="J39" s="12">
        <f t="shared" si="1"/>
        <v>5</v>
      </c>
      <c r="K39" s="12">
        <f t="array" ref="K39">IF(G39="MLB",1,IF(G39="日職一軍",2,IF(G39="韓職一軍",3,IF(G39="3A",4,IF(G39="2A",5,IF(G39="A+",6,IF(G39="1A",7,IF(G39="RK",8,IF(G39="日職二軍",9,99)))))))))</f>
        <v>4</v>
      </c>
      <c r="L39" s="12" t="str">
        <f t="shared" si="2"/>
        <v>Jonathon Long</v>
      </c>
      <c r="M39" s="12">
        <f>IF($A39="","",IFERROR(INDEX(異動資料源!$E:$E,MATCH($A39,異動資料源!$A:$A,0)),""))</f>
        <v>4</v>
      </c>
      <c r="N39" s="12" t="str">
        <f>IF(AND($A39&lt;&gt;"",$H39&lt;&gt;"現役"),COUNTIFS($A$2:$A39,"&lt;&gt;",$H$2:$H39,"&lt;&gt;現役"),"")</f>
        <v/>
      </c>
      <c r="O39" s="12" t="str">
        <f>IF($A39="","",IFERROR(INDEX(異動資料源!$I:$I,MATCH($A39,異動資料源!$A:$A,0)),"現役"))</f>
        <v>現役</v>
      </c>
      <c r="R39" s="12" t="str">
        <f t="shared" si="0"/>
        <v>現役</v>
      </c>
      <c r="S39" s="12" t="str">
        <f>IF($A39="","",IFERROR(INDEX(異動資料源!$M:$M,MATCH($A39,異動資料源!$A:$A,0)),""))</f>
        <v/>
      </c>
      <c r="T39" s="12" t="str">
        <f>IF($S39&lt;&gt;"",SUM($U$2:U39),"")</f>
        <v/>
      </c>
      <c r="U39" s="12" t="str">
        <f>IF($A39="","",IFERROR(INDEX(異動資料源!$N:$N,MATCH($A39,異動資料源!$A:$A,0)),""))</f>
        <v/>
      </c>
      <c r="V39" s="12" t="str">
        <f>IF($A39="","",IFERROR(INDEX(異動資料源!$O:$O,MATCH($A39,異動資料源!$A:$A,0)),""))</f>
        <v/>
      </c>
    </row>
    <row r="40" spans="1:22">
      <c r="A40" s="20" t="s">
        <v>86</v>
      </c>
      <c r="B40" s="21" t="s">
        <v>143</v>
      </c>
      <c r="C40" s="21" t="s">
        <v>119</v>
      </c>
      <c r="D40" s="21" t="s">
        <v>105</v>
      </c>
      <c r="E40" s="21" t="s">
        <v>109</v>
      </c>
      <c r="F40" s="21" t="s">
        <v>146</v>
      </c>
      <c r="G40" s="21" t="s">
        <v>6</v>
      </c>
      <c r="H40" s="21" t="s">
        <v>107</v>
      </c>
      <c r="I40" s="1" t="str">
        <f>IF($A40="","",IFERROR(INDEX(異動資料源!$G:$G,MATCH($A40,異動資料源!$A:$A,0)),""))</f>
        <v/>
      </c>
      <c r="J40" s="12">
        <f t="shared" si="1"/>
        <v>5</v>
      </c>
      <c r="K40" s="12">
        <f t="array" ref="K40">IF(G40="MLB",1,IF(G40="日職一軍",2,IF(G40="韓職一軍",3,IF(G40="3A",4,IF(G40="2A",5,IF(G40="A+",6,IF(G40="1A",7,IF(G40="RK",8,IF(G40="日職二軍",9,99)))))))))</f>
        <v>4</v>
      </c>
      <c r="L40" s="12" t="str">
        <f t="shared" si="2"/>
        <v>Stuart Fairchild</v>
      </c>
      <c r="M40" s="12">
        <f>IF($A40="","",IFERROR(INDEX(異動資料源!$E:$E,MATCH($A40,異動資料源!$A:$A,0)),""))</f>
        <v>4</v>
      </c>
      <c r="N40" s="12" t="str">
        <f>IF(AND($A40&lt;&gt;"",$H40&lt;&gt;"現役"),COUNTIFS($A$2:$A40,"&lt;&gt;",$H$2:$H40,"&lt;&gt;現役"),"")</f>
        <v/>
      </c>
      <c r="O40" s="12" t="str">
        <f>IF($A40="","",IFERROR(INDEX(異動資料源!$I:$I,MATCH($A40,異動資料源!$A:$A,0)),"現役"))</f>
        <v>現役</v>
      </c>
      <c r="R40" s="12" t="str">
        <f t="shared" si="0"/>
        <v>現役</v>
      </c>
      <c r="S40" s="12" t="str">
        <f>IF($A40="","",IFERROR(INDEX(異動資料源!$M:$M,MATCH($A40,異動資料源!$A:$A,0)),""))</f>
        <v/>
      </c>
      <c r="T40" s="12" t="str">
        <f>IF($S40&lt;&gt;"",SUM($U$2:U40),"")</f>
        <v/>
      </c>
      <c r="U40" s="12" t="str">
        <f>IF($A40="","",IFERROR(INDEX(異動資料源!$N:$N,MATCH($A40,異動資料源!$A:$A,0)),""))</f>
        <v/>
      </c>
      <c r="V40" s="12" t="str">
        <f>IF($A40="","",IFERROR(INDEX(異動資料源!$O:$O,MATCH($A40,異動資料源!$A:$A,0)),""))</f>
        <v/>
      </c>
    </row>
    <row r="41" spans="1:22">
      <c r="A41" s="22" t="s">
        <v>87</v>
      </c>
      <c r="B41" s="23" t="s">
        <v>143</v>
      </c>
      <c r="C41" s="23" t="s">
        <v>125</v>
      </c>
      <c r="D41" s="23" t="s">
        <v>105</v>
      </c>
      <c r="E41" s="23" t="s">
        <v>109</v>
      </c>
      <c r="F41" s="23" t="s">
        <v>147</v>
      </c>
      <c r="G41" s="23" t="s">
        <v>116</v>
      </c>
      <c r="H41" s="23" t="s">
        <v>107</v>
      </c>
      <c r="I41" s="1" t="str">
        <f>IF($A41="","",IFERROR(INDEX(異動資料源!$G:$G,MATCH($A41,異動資料源!$A:$A,0)),""))</f>
        <v/>
      </c>
      <c r="J41" s="12">
        <f t="shared" si="1"/>
        <v>5</v>
      </c>
      <c r="K41" s="12">
        <f t="array" ref="K41">IF(G41="MLB",1,IF(G41="日職一軍",2,IF(G41="韓職一軍",3,IF(G41="3A",4,IF(G41="2A",5,IF(G41="A+",6,IF(G41="1A",7,IF(G41="RK",8,IF(G41="日職二軍",9,99)))))))))</f>
        <v>6</v>
      </c>
      <c r="L41" s="12" t="str">
        <f t="shared" si="2"/>
        <v>Tyler Wilson</v>
      </c>
      <c r="M41" s="12">
        <f>IF($A41="","",IFERROR(INDEX(異動資料源!$E:$E,MATCH($A41,異動資料源!$A:$A,0)),""))</f>
        <v>6</v>
      </c>
      <c r="N41" s="12" t="str">
        <f>IF(AND($A41&lt;&gt;"",$H41&lt;&gt;"現役"),COUNTIFS($A$2:$A41,"&lt;&gt;",$H$2:$H41,"&lt;&gt;現役"),"")</f>
        <v/>
      </c>
      <c r="O41" s="12" t="str">
        <f>IF($A41="","",IFERROR(INDEX(異動資料源!$I:$I,MATCH($A41,異動資料源!$A:$A,0)),"現役"))</f>
        <v>現役</v>
      </c>
      <c r="R41" s="12" t="str">
        <f t="shared" si="0"/>
        <v>現役</v>
      </c>
      <c r="S41" s="12" t="str">
        <f>IF($A41="","",IFERROR(INDEX(異動資料源!$M:$M,MATCH($A41,異動資料源!$A:$A,0)),""))</f>
        <v/>
      </c>
      <c r="T41" s="12" t="str">
        <f>IF($S41&lt;&gt;"",SUM($U$2:U41),"")</f>
        <v/>
      </c>
      <c r="U41" s="12" t="str">
        <f>IF($A41="","",IFERROR(INDEX(異動資料源!$N:$N,MATCH($A41,異動資料源!$A:$A,0)),""))</f>
        <v/>
      </c>
      <c r="V41" s="12" t="str">
        <f>IF($A41="","",IFERROR(INDEX(異動資料源!$O:$O,MATCH($A41,異動資料源!$A:$A,0)),""))</f>
        <v/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5"/>
  <sheetViews>
    <sheetView workbookViewId="0"/>
  </sheetViews>
  <sheetFormatPr defaultRowHeight="16.5"/>
  <cols>
    <col min="1" max="1" width="13.875" style="8" customWidth="1"/>
    <col min="2" max="2" width="9" style="8"/>
    <col min="3" max="3" width="14.75" style="8" customWidth="1"/>
    <col min="4" max="4" width="9" style="8"/>
    <col min="5" max="8" width="11.875" style="8" customWidth="1"/>
    <col min="9" max="36" width="9" style="8"/>
  </cols>
  <sheetData>
    <row r="1" spans="1:36">
      <c r="A1" s="1" t="s">
        <v>17</v>
      </c>
      <c r="B1" s="1" t="s">
        <v>90</v>
      </c>
      <c r="C1" s="1" t="s">
        <v>24</v>
      </c>
      <c r="D1" s="1" t="s">
        <v>22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169</v>
      </c>
      <c r="AA1" s="1" t="s">
        <v>170</v>
      </c>
      <c r="AB1" s="1" t="s">
        <v>171</v>
      </c>
      <c r="AC1" s="1" t="s">
        <v>172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</row>
    <row r="2" spans="1:36">
      <c r="A2" s="2" t="s">
        <v>71</v>
      </c>
      <c r="B2" s="2" t="s">
        <v>5</v>
      </c>
      <c r="C2" s="2" t="s">
        <v>106</v>
      </c>
      <c r="D2" s="2" t="s">
        <v>5</v>
      </c>
      <c r="E2" s="3"/>
      <c r="F2" s="4"/>
      <c r="G2" s="4"/>
      <c r="H2" s="4"/>
      <c r="I2" s="5"/>
      <c r="J2" s="5"/>
      <c r="K2" s="5"/>
      <c r="L2" s="5"/>
      <c r="M2" s="5"/>
      <c r="N2" s="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>
      <c r="A3" s="2" t="s">
        <v>71</v>
      </c>
      <c r="B3" s="2" t="s">
        <v>5</v>
      </c>
      <c r="C3" s="2" t="s">
        <v>106</v>
      </c>
      <c r="D3" s="2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>
      <c r="A4" s="2" t="s">
        <v>73</v>
      </c>
      <c r="B4" s="2" t="s">
        <v>109</v>
      </c>
      <c r="C4" s="2" t="s">
        <v>111</v>
      </c>
      <c r="D4" s="2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>
      <c r="A5" s="2" t="s">
        <v>75</v>
      </c>
      <c r="B5" s="2" t="s">
        <v>109</v>
      </c>
      <c r="C5" s="2" t="s">
        <v>120</v>
      </c>
      <c r="D5" s="2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>
      <c r="A6" s="2" t="s">
        <v>77</v>
      </c>
      <c r="B6" s="2" t="s">
        <v>109</v>
      </c>
      <c r="C6" s="2" t="s">
        <v>124</v>
      </c>
      <c r="D6" s="2" t="s">
        <v>123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>
      <c r="A7" s="7"/>
      <c r="B7" s="7"/>
      <c r="C7" s="7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>
      <c r="A8" s="7"/>
      <c r="B8" s="7"/>
      <c r="C8" s="7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>
      <c r="A9" s="7"/>
      <c r="B9" s="7"/>
      <c r="C9" s="7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>
      <c r="A10" s="7"/>
      <c r="B10" s="7"/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>
      <c r="A11" s="1" t="s">
        <v>82</v>
      </c>
      <c r="B11" s="1" t="s">
        <v>5</v>
      </c>
      <c r="C11" s="1" t="s">
        <v>144</v>
      </c>
      <c r="D11" s="1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>
      <c r="A12" s="1" t="s">
        <v>84</v>
      </c>
      <c r="B12" s="1" t="s">
        <v>109</v>
      </c>
      <c r="C12" s="1" t="s">
        <v>145</v>
      </c>
      <c r="D12" s="1" t="s">
        <v>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>
      <c r="A13" s="1" t="s">
        <v>86</v>
      </c>
      <c r="B13" s="1" t="s">
        <v>109</v>
      </c>
      <c r="C13" s="1" t="s">
        <v>146</v>
      </c>
      <c r="D13" s="1" t="s">
        <v>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>
      <c r="A14" s="1" t="s">
        <v>87</v>
      </c>
      <c r="B14" s="1" t="s">
        <v>109</v>
      </c>
      <c r="C14" s="1" t="s">
        <v>147</v>
      </c>
      <c r="D14" s="1" t="s">
        <v>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9"/>
  <sheetViews>
    <sheetView workbookViewId="0"/>
  </sheetViews>
  <sheetFormatPr defaultRowHeight="16.5"/>
  <cols>
    <col min="1" max="2" width="9" style="8"/>
    <col min="3" max="3" width="14.75" style="8" customWidth="1"/>
    <col min="4" max="34" width="9" style="8"/>
  </cols>
  <sheetData>
    <row r="1" spans="1:34">
      <c r="A1" s="1" t="s">
        <v>17</v>
      </c>
      <c r="B1" s="1" t="s">
        <v>90</v>
      </c>
      <c r="C1" s="1" t="s">
        <v>24</v>
      </c>
      <c r="D1" s="9" t="s">
        <v>22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166</v>
      </c>
      <c r="N1" s="1" t="s">
        <v>167</v>
      </c>
      <c r="O1" s="1" t="s">
        <v>168</v>
      </c>
      <c r="P1" s="1" t="s">
        <v>170</v>
      </c>
      <c r="Q1" s="1" t="s">
        <v>173</v>
      </c>
      <c r="R1" s="1" t="s">
        <v>188</v>
      </c>
      <c r="S1" s="1" t="s">
        <v>189</v>
      </c>
      <c r="T1" s="1" t="s">
        <v>190</v>
      </c>
      <c r="U1" s="1" t="s">
        <v>150</v>
      </c>
      <c r="V1" s="1" t="s">
        <v>151</v>
      </c>
      <c r="W1" s="1" t="s">
        <v>152</v>
      </c>
      <c r="X1" s="1" t="s">
        <v>148</v>
      </c>
      <c r="Y1" s="1" t="s">
        <v>191</v>
      </c>
      <c r="Z1" s="1" t="s">
        <v>192</v>
      </c>
      <c r="AA1" s="1" t="s">
        <v>193</v>
      </c>
      <c r="AB1" s="1" t="s">
        <v>154</v>
      </c>
      <c r="AC1" s="1" t="s">
        <v>194</v>
      </c>
      <c r="AD1" s="1" t="s">
        <v>195</v>
      </c>
      <c r="AE1" s="1" t="s">
        <v>158</v>
      </c>
      <c r="AF1" s="1" t="s">
        <v>160</v>
      </c>
      <c r="AG1" s="1" t="s">
        <v>161</v>
      </c>
      <c r="AH1" s="1" t="s">
        <v>162</v>
      </c>
    </row>
    <row r="2" spans="1:34">
      <c r="A2" s="2" t="s">
        <v>32</v>
      </c>
      <c r="B2" s="2" t="s">
        <v>5</v>
      </c>
      <c r="C2" s="2" t="s">
        <v>108</v>
      </c>
      <c r="D2" s="2" t="s">
        <v>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>
      <c r="A3" s="2" t="s">
        <v>34</v>
      </c>
      <c r="B3" s="2" t="s">
        <v>109</v>
      </c>
      <c r="C3" s="2" t="s">
        <v>110</v>
      </c>
      <c r="D3" s="2" t="s">
        <v>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>
      <c r="A4" s="2" t="s">
        <v>42</v>
      </c>
      <c r="B4" s="2" t="s">
        <v>109</v>
      </c>
      <c r="C4" s="2" t="s">
        <v>114</v>
      </c>
      <c r="D4" s="2" t="s">
        <v>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>
      <c r="A5" s="2" t="s">
        <v>40</v>
      </c>
      <c r="B5" s="2" t="s">
        <v>109</v>
      </c>
      <c r="C5" s="2" t="s">
        <v>113</v>
      </c>
      <c r="D5" s="2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>
      <c r="A6" s="2" t="s">
        <v>37</v>
      </c>
      <c r="B6" s="2" t="s">
        <v>109</v>
      </c>
      <c r="C6" s="2" t="s">
        <v>112</v>
      </c>
      <c r="D6" s="2" t="s">
        <v>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>
      <c r="A7" s="2" t="s">
        <v>44</v>
      </c>
      <c r="B7" s="2" t="s">
        <v>109</v>
      </c>
      <c r="C7" s="2" t="s">
        <v>111</v>
      </c>
      <c r="D7" s="2" t="s">
        <v>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>
      <c r="A8" s="2" t="s">
        <v>53</v>
      </c>
      <c r="B8" s="2" t="s">
        <v>109</v>
      </c>
      <c r="C8" s="2" t="s">
        <v>121</v>
      </c>
      <c r="D8" s="2" t="s">
        <v>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>
      <c r="A9" s="2" t="s">
        <v>39</v>
      </c>
      <c r="B9" s="2" t="s">
        <v>109</v>
      </c>
      <c r="C9" s="2" t="s">
        <v>113</v>
      </c>
      <c r="D9" s="2" t="s">
        <v>7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>
      <c r="A10" s="2" t="s">
        <v>46</v>
      </c>
      <c r="B10" s="2" t="s">
        <v>109</v>
      </c>
      <c r="C10" s="2" t="s">
        <v>113</v>
      </c>
      <c r="D10" s="2" t="s">
        <v>116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>
      <c r="A11" s="2" t="s">
        <v>48</v>
      </c>
      <c r="B11" s="2" t="s">
        <v>109</v>
      </c>
      <c r="C11" s="2" t="s">
        <v>114</v>
      </c>
      <c r="D11" s="2" t="s">
        <v>116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>
      <c r="A12" s="2" t="s">
        <v>52</v>
      </c>
      <c r="B12" s="2" t="s">
        <v>109</v>
      </c>
      <c r="C12" s="2" t="s">
        <v>110</v>
      </c>
      <c r="D12" s="2" t="s">
        <v>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>
      <c r="A13" s="2" t="s">
        <v>51</v>
      </c>
      <c r="B13" s="2" t="s">
        <v>109</v>
      </c>
      <c r="C13" s="2" t="s">
        <v>196</v>
      </c>
      <c r="D13" s="2" t="s">
        <v>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>
      <c r="A14" s="2" t="s">
        <v>50</v>
      </c>
      <c r="B14" s="2" t="s">
        <v>109</v>
      </c>
      <c r="C14" s="2" t="s">
        <v>117</v>
      </c>
      <c r="D14" s="2" t="s">
        <v>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>
      <c r="A15" s="2" t="s">
        <v>55</v>
      </c>
      <c r="B15" s="2" t="s">
        <v>109</v>
      </c>
      <c r="C15" s="2" t="s">
        <v>122</v>
      </c>
      <c r="D15" s="2" t="s">
        <v>123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>
      <c r="A16" s="2" t="s">
        <v>58</v>
      </c>
      <c r="B16" s="2" t="s">
        <v>109</v>
      </c>
      <c r="C16" s="2" t="s">
        <v>117</v>
      </c>
      <c r="D16" s="2" t="s">
        <v>123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>
      <c r="A17" s="2" t="s">
        <v>57</v>
      </c>
      <c r="B17" s="2" t="s">
        <v>109</v>
      </c>
      <c r="C17" s="2" t="s">
        <v>124</v>
      </c>
      <c r="D17" s="2" t="s">
        <v>123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>
      <c r="A18" s="2" t="s">
        <v>60</v>
      </c>
      <c r="B18" s="2" t="s">
        <v>109</v>
      </c>
      <c r="C18" s="2" t="s">
        <v>126</v>
      </c>
      <c r="D18" s="2" t="s">
        <v>123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>
      <c r="A19" s="2" t="s">
        <v>59</v>
      </c>
      <c r="B19" s="2" t="s">
        <v>109</v>
      </c>
      <c r="C19" s="2" t="s">
        <v>122</v>
      </c>
      <c r="D19" s="2" t="s">
        <v>123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4"/>
  <sheetViews>
    <sheetView workbookViewId="0"/>
  </sheetViews>
  <sheetFormatPr defaultRowHeight="16.5"/>
  <cols>
    <col min="1" max="1" width="13.875" style="8" customWidth="1"/>
    <col min="2" max="2" width="9" style="8"/>
    <col min="3" max="3" width="18.75" style="8" customWidth="1"/>
    <col min="4" max="36" width="9" style="8"/>
  </cols>
  <sheetData>
    <row r="1" spans="1:36">
      <c r="A1" s="1" t="s">
        <v>17</v>
      </c>
      <c r="B1" s="1" t="s">
        <v>90</v>
      </c>
      <c r="C1" s="1" t="s">
        <v>24</v>
      </c>
      <c r="D1" s="9" t="s">
        <v>22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166</v>
      </c>
      <c r="N1" s="1" t="s">
        <v>167</v>
      </c>
      <c r="O1" s="1" t="s">
        <v>168</v>
      </c>
      <c r="P1" s="1" t="s">
        <v>170</v>
      </c>
      <c r="Q1" s="1" t="s">
        <v>173</v>
      </c>
      <c r="R1" s="1" t="s">
        <v>188</v>
      </c>
      <c r="S1" s="1" t="s">
        <v>189</v>
      </c>
      <c r="T1" s="1" t="s">
        <v>190</v>
      </c>
      <c r="U1" s="1" t="s">
        <v>150</v>
      </c>
      <c r="V1" s="1" t="s">
        <v>151</v>
      </c>
      <c r="W1" s="1" t="s">
        <v>152</v>
      </c>
      <c r="X1" s="1" t="s">
        <v>148</v>
      </c>
      <c r="Y1" s="1" t="s">
        <v>191</v>
      </c>
      <c r="Z1" s="1" t="s">
        <v>192</v>
      </c>
      <c r="AA1" s="1" t="s">
        <v>193</v>
      </c>
      <c r="AB1" s="1" t="s">
        <v>154</v>
      </c>
      <c r="AC1" s="1" t="s">
        <v>194</v>
      </c>
      <c r="AD1" s="1" t="s">
        <v>195</v>
      </c>
      <c r="AE1" s="1" t="s">
        <v>158</v>
      </c>
      <c r="AF1" s="1" t="s">
        <v>160</v>
      </c>
      <c r="AG1" s="1" t="s">
        <v>161</v>
      </c>
      <c r="AH1" s="1" t="s">
        <v>162</v>
      </c>
    </row>
    <row r="2" spans="1:36">
      <c r="A2" s="10" t="s">
        <v>61</v>
      </c>
      <c r="B2" s="10" t="s">
        <v>129</v>
      </c>
      <c r="C2" s="10" t="s">
        <v>130</v>
      </c>
      <c r="D2" s="10" t="s">
        <v>197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>
      <c r="A3" s="10" t="s">
        <v>67</v>
      </c>
      <c r="B3" s="10" t="s">
        <v>129</v>
      </c>
      <c r="C3" s="10" t="s">
        <v>136</v>
      </c>
      <c r="D3" s="10" t="s">
        <v>13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>
      <c r="A4" s="10" t="s">
        <v>62</v>
      </c>
      <c r="B4" s="10" t="s">
        <v>129</v>
      </c>
      <c r="C4" s="10" t="s">
        <v>132</v>
      </c>
      <c r="D4" s="10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>
      <c r="A5" s="10" t="s">
        <v>68</v>
      </c>
      <c r="B5" s="10" t="s">
        <v>129</v>
      </c>
      <c r="C5" s="10" t="s">
        <v>137</v>
      </c>
      <c r="D5" s="10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>
      <c r="A6" s="10" t="s">
        <v>63</v>
      </c>
      <c r="B6" s="10" t="s">
        <v>129</v>
      </c>
      <c r="C6" s="10" t="s">
        <v>132</v>
      </c>
      <c r="D6" s="10" t="s"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>
      <c r="A7" s="10" t="s">
        <v>69</v>
      </c>
      <c r="B7" s="10" t="s">
        <v>129</v>
      </c>
      <c r="C7" s="10" t="s">
        <v>130</v>
      </c>
      <c r="D7" s="10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>
      <c r="A8" s="10" t="s">
        <v>64</v>
      </c>
      <c r="B8" s="10" t="s">
        <v>129</v>
      </c>
      <c r="C8" s="10" t="s">
        <v>134</v>
      </c>
      <c r="D8" s="10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>
      <c r="A9" s="10" t="s">
        <v>66</v>
      </c>
      <c r="B9" s="10" t="s">
        <v>129</v>
      </c>
      <c r="C9" s="10" t="s">
        <v>134</v>
      </c>
      <c r="D9" s="10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>
      <c r="A10" s="11" t="s">
        <v>70</v>
      </c>
      <c r="B10" s="11" t="s">
        <v>198</v>
      </c>
      <c r="C10" s="11" t="s">
        <v>141</v>
      </c>
      <c r="D10" s="11" t="s">
        <v>142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>
      <c r="A11" s="1" t="s">
        <v>17</v>
      </c>
      <c r="B11" s="1" t="s">
        <v>90</v>
      </c>
      <c r="C11" s="1" t="s">
        <v>24</v>
      </c>
      <c r="D11" s="1" t="s">
        <v>22</v>
      </c>
      <c r="E11" s="1" t="s">
        <v>148</v>
      </c>
      <c r="F11" s="1" t="s">
        <v>149</v>
      </c>
      <c r="G11" s="1" t="s">
        <v>150</v>
      </c>
      <c r="H11" s="1" t="s">
        <v>151</v>
      </c>
      <c r="I11" s="1" t="s">
        <v>152</v>
      </c>
      <c r="J11" s="1" t="s">
        <v>153</v>
      </c>
      <c r="K11" s="1" t="s">
        <v>154</v>
      </c>
      <c r="L11" s="1" t="s">
        <v>155</v>
      </c>
      <c r="M11" s="1" t="s">
        <v>156</v>
      </c>
      <c r="N11" s="1" t="s">
        <v>157</v>
      </c>
      <c r="O11" s="1" t="s">
        <v>158</v>
      </c>
      <c r="P11" s="1" t="s">
        <v>159</v>
      </c>
      <c r="Q11" s="1" t="s">
        <v>160</v>
      </c>
      <c r="R11" s="1" t="s">
        <v>161</v>
      </c>
      <c r="S11" s="1" t="s">
        <v>162</v>
      </c>
      <c r="T11" s="1" t="s">
        <v>163</v>
      </c>
      <c r="U11" s="1" t="s">
        <v>164</v>
      </c>
      <c r="V11" s="1" t="s">
        <v>165</v>
      </c>
      <c r="W11" s="1" t="s">
        <v>166</v>
      </c>
      <c r="X11" s="1" t="s">
        <v>167</v>
      </c>
      <c r="Y11" s="1" t="s">
        <v>168</v>
      </c>
      <c r="Z11" s="1" t="s">
        <v>169</v>
      </c>
      <c r="AA11" s="1" t="s">
        <v>170</v>
      </c>
      <c r="AB11" s="1" t="s">
        <v>171</v>
      </c>
      <c r="AC11" s="1" t="s">
        <v>172</v>
      </c>
      <c r="AD11" s="1" t="s">
        <v>173</v>
      </c>
      <c r="AE11" s="1" t="s">
        <v>174</v>
      </c>
      <c r="AF11" s="1" t="s">
        <v>175</v>
      </c>
      <c r="AG11" s="1" t="s">
        <v>176</v>
      </c>
      <c r="AH11" s="1" t="s">
        <v>177</v>
      </c>
      <c r="AI11" s="1" t="s">
        <v>178</v>
      </c>
      <c r="AJ11" s="1" t="s">
        <v>179</v>
      </c>
    </row>
    <row r="12" spans="1:36">
      <c r="A12" s="10" t="s">
        <v>78</v>
      </c>
      <c r="B12" s="10" t="s">
        <v>129</v>
      </c>
      <c r="C12" s="10" t="s">
        <v>131</v>
      </c>
      <c r="D12" s="10" t="s">
        <v>197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>
      <c r="A13" s="10" t="s">
        <v>79</v>
      </c>
      <c r="B13" s="10" t="s">
        <v>129</v>
      </c>
      <c r="C13" s="10" t="s">
        <v>131</v>
      </c>
      <c r="D13" s="10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>
      <c r="A14" s="10" t="s">
        <v>65</v>
      </c>
      <c r="B14" s="10" t="s">
        <v>129</v>
      </c>
      <c r="C14" s="10" t="s">
        <v>135</v>
      </c>
      <c r="D14" s="10" t="s">
        <v>13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1"/>
  <sheetViews>
    <sheetView workbookViewId="0">
      <selection activeCell="C5" sqref="C5"/>
    </sheetView>
  </sheetViews>
  <sheetFormatPr defaultRowHeight="16.5"/>
  <cols>
    <col min="1" max="1" width="14" style="12" customWidth="1"/>
    <col min="2" max="3" width="18" style="12" customWidth="1"/>
    <col min="4" max="4" width="30" style="12" customWidth="1"/>
    <col min="5" max="6" width="12.625" style="12" bestFit="1" customWidth="1"/>
    <col min="7" max="7" width="10" style="12" customWidth="1"/>
    <col min="8" max="8" width="12" style="12" customWidth="1"/>
    <col min="9" max="10" width="10" style="12" customWidth="1"/>
    <col min="11" max="12" width="9" style="12" customWidth="1"/>
    <col min="13" max="13" width="30" style="12" customWidth="1"/>
    <col min="14" max="14" width="10.25" style="12" bestFit="1" customWidth="1"/>
    <col min="15" max="15" width="8" style="12" customWidth="1"/>
    <col min="16" max="16" width="20" style="12" customWidth="1"/>
    <col min="17" max="16384" width="9" style="12"/>
  </cols>
  <sheetData>
    <row r="1" spans="1:16">
      <c r="A1" s="82" t="s">
        <v>17</v>
      </c>
      <c r="B1" s="82" t="s">
        <v>199</v>
      </c>
      <c r="C1" s="82" t="s">
        <v>200</v>
      </c>
      <c r="D1" s="82" t="s">
        <v>201</v>
      </c>
      <c r="E1" s="82" t="s">
        <v>202</v>
      </c>
      <c r="F1" s="82" t="s">
        <v>203</v>
      </c>
      <c r="G1" s="82" t="s">
        <v>204</v>
      </c>
      <c r="H1" s="82" t="s">
        <v>205</v>
      </c>
      <c r="I1" s="82" t="s">
        <v>206</v>
      </c>
      <c r="J1" s="82" t="s">
        <v>207</v>
      </c>
      <c r="K1" s="82" t="s">
        <v>97</v>
      </c>
      <c r="L1" s="82" t="s">
        <v>98</v>
      </c>
      <c r="M1" s="82" t="s">
        <v>208</v>
      </c>
      <c r="N1" s="82" t="s">
        <v>102</v>
      </c>
      <c r="O1" s="82" t="s">
        <v>103</v>
      </c>
      <c r="P1" s="82" t="s">
        <v>209</v>
      </c>
    </row>
    <row r="2" spans="1:16">
      <c r="A2" s="12" t="str">
        <f>IF(總表!A2="","",總表!A2)</f>
        <v>李灝宇</v>
      </c>
      <c r="B2" s="12" t="s">
        <v>106</v>
      </c>
      <c r="C2" s="12" t="str">
        <f>IF(總表!A2="","",總表!F2)</f>
        <v>底特律老虎</v>
      </c>
      <c r="D2" s="12" t="str">
        <f t="shared" ref="D2:D41" si="0">IF($A2="","",IF(AND($B2&lt;&gt;"",$C2&lt;&gt;"",$B2&lt;&gt;$C2),"⇄ 轉隊："&amp;$B2&amp;" → "&amp;$C2,""))</f>
        <v/>
      </c>
      <c r="E2" s="12">
        <v>1</v>
      </c>
      <c r="F2" s="12">
        <f>IF(總表!A2="","",總表!K2)</f>
        <v>1</v>
      </c>
      <c r="G2" s="12" t="str">
        <f t="shared" ref="G2:G41" si="1">IF($A2="","",IF(OR($E2="",$F2=""),"",IF($F2&lt;$E2,"升級",IF($F2&gt;$E2,"下放",""))))</f>
        <v/>
      </c>
      <c r="H2" s="12" t="str">
        <f>IF($G2="升級","▲ "&amp;總表!G2,IF($G2="下放","▼ "&amp;總表!G2,""))</f>
        <v/>
      </c>
      <c r="I2" s="12" t="s">
        <v>107</v>
      </c>
      <c r="J2" s="12" t="str">
        <f>IF(總表!A2="","",總表!H2)</f>
        <v>現役</v>
      </c>
      <c r="K2" s="12" t="str">
        <f>IF(總表!P2="","",總表!P2)</f>
        <v/>
      </c>
      <c r="L2" s="12" t="str">
        <f>IF(總表!Q2="","",總表!Q2)</f>
        <v/>
      </c>
      <c r="M2" s="12" t="str">
        <f t="shared" ref="M2:M41" si="2">IF($A2="","",IF($D2&lt;&gt;"",$D2,IF($J2="現役",IF($I2&lt;&gt;"現役","↩ 復出",""),IF($J2&lt;&gt;"現役",IF($K2=10,"⚕ IL("&amp;IF($L2="","?",$L2)&amp;"/10)",IF($K2=15,"⚕ IL("&amp;IF($L2="","?",$L2)&amp;"/15)",IF($K2=60,"⚕ IL("&amp;IF($L2="","?",$L2)&amp;"/60)","⚕ 傷兵"))),""))))</f>
        <v/>
      </c>
      <c r="N2" s="12" t="str">
        <f t="shared" ref="N2:N41" si="3">IF($A2="","",IF(OR($G2&lt;&gt;"",$M2&lt;&gt;""),1,""))</f>
        <v/>
      </c>
      <c r="O2" s="12" t="str">
        <f>IF($N2=1,SUM($N$2:N2),"")</f>
        <v/>
      </c>
    </row>
    <row r="3" spans="1:16">
      <c r="A3" s="12" t="str">
        <f>IF(總表!A3="","",總表!A3)</f>
        <v>鄧愷威</v>
      </c>
      <c r="B3" s="12" t="s">
        <v>108</v>
      </c>
      <c r="C3" s="12" t="str">
        <f>IF(總表!A3="","",總表!F3)</f>
        <v>休士頓太空人</v>
      </c>
      <c r="D3" s="12" t="str">
        <f t="shared" si="0"/>
        <v/>
      </c>
      <c r="E3" s="12">
        <v>1</v>
      </c>
      <c r="F3" s="12">
        <f>IF(總表!A3="","",總表!K3)</f>
        <v>1</v>
      </c>
      <c r="G3" s="12" t="str">
        <f t="shared" si="1"/>
        <v/>
      </c>
      <c r="H3" s="12" t="str">
        <f>IF($G3="升級","▲ "&amp;總表!G3,IF($G3="下放","▼ "&amp;總表!G3,""))</f>
        <v/>
      </c>
      <c r="I3" s="12" t="s">
        <v>107</v>
      </c>
      <c r="J3" s="12" t="str">
        <f>IF(總表!A3="","",總表!H3)</f>
        <v>現役</v>
      </c>
      <c r="K3" s="12" t="str">
        <f>IF(總表!P3="","",總表!P3)</f>
        <v/>
      </c>
      <c r="L3" s="12" t="str">
        <f>IF(總表!Q3="","",總表!Q3)</f>
        <v/>
      </c>
      <c r="M3" s="12" t="str">
        <f t="shared" si="2"/>
        <v/>
      </c>
      <c r="N3" s="12" t="str">
        <f t="shared" si="3"/>
        <v/>
      </c>
      <c r="O3" s="12" t="str">
        <f>IF($N3=1,SUM($N$2:N3),"")</f>
        <v/>
      </c>
    </row>
    <row r="4" spans="1:16">
      <c r="A4" s="12" t="str">
        <f>IF(總表!A4="","",總表!A4)</f>
        <v>林昱珉</v>
      </c>
      <c r="B4" s="12" t="s">
        <v>110</v>
      </c>
      <c r="C4" s="12" t="str">
        <f>IF(總表!A4="","",總表!F4)</f>
        <v>亞利桑那響尾蛇</v>
      </c>
      <c r="D4" s="12" t="str">
        <f t="shared" si="0"/>
        <v/>
      </c>
      <c r="E4" s="12">
        <v>4</v>
      </c>
      <c r="F4" s="12">
        <f>IF(總表!A4="","",總表!K4)</f>
        <v>4</v>
      </c>
      <c r="G4" s="12" t="str">
        <f t="shared" si="1"/>
        <v/>
      </c>
      <c r="H4" s="12" t="str">
        <f>IF($G4="升級","▲ "&amp;總表!G4,IF($G4="下放","▼ "&amp;總表!G4,""))</f>
        <v/>
      </c>
      <c r="I4" s="12" t="s">
        <v>107</v>
      </c>
      <c r="J4" s="12" t="str">
        <f>IF(總表!A4="","",總表!H4)</f>
        <v>現役</v>
      </c>
      <c r="K4" s="12" t="str">
        <f>IF(總表!P4="","",總表!P4)</f>
        <v/>
      </c>
      <c r="L4" s="12" t="str">
        <f>IF(總表!Q4="","",總表!Q4)</f>
        <v/>
      </c>
      <c r="M4" s="12" t="str">
        <f t="shared" si="2"/>
        <v/>
      </c>
      <c r="N4" s="12" t="str">
        <f t="shared" si="3"/>
        <v/>
      </c>
      <c r="O4" s="12" t="str">
        <f>IF($N4=1,SUM($N$2:N4),"")</f>
        <v/>
      </c>
    </row>
    <row r="5" spans="1:16">
      <c r="A5" s="12" t="str">
        <f>IF(總表!A5="","",總表!A5)</f>
        <v>鄭宗哲</v>
      </c>
      <c r="B5" s="12" t="s">
        <v>111</v>
      </c>
      <c r="C5" s="12" t="str">
        <f>IF(總表!A5="","",總表!F5)</f>
        <v>波士頓紅襪</v>
      </c>
      <c r="D5" s="12" t="str">
        <f t="shared" si="0"/>
        <v/>
      </c>
      <c r="E5" s="12">
        <v>4</v>
      </c>
      <c r="F5" s="12">
        <f>IF(總表!A5="","",總表!K5)</f>
        <v>4</v>
      </c>
      <c r="G5" s="12" t="str">
        <f t="shared" si="1"/>
        <v/>
      </c>
      <c r="H5" s="12" t="str">
        <f>IF($G5="升級","▲ "&amp;總表!G5,IF($G5="下放","▼ "&amp;總表!G5,""))</f>
        <v/>
      </c>
      <c r="I5" s="12" t="s">
        <v>107</v>
      </c>
      <c r="J5" s="12" t="str">
        <f>IF(總表!A5="","",總表!H5)</f>
        <v>現役</v>
      </c>
      <c r="K5" s="12" t="str">
        <f>IF(總表!P5="","",總表!P5)</f>
        <v/>
      </c>
      <c r="L5" s="12" t="str">
        <f>IF(總表!Q5="","",總表!Q5)</f>
        <v/>
      </c>
      <c r="M5" s="12" t="str">
        <f t="shared" si="2"/>
        <v/>
      </c>
      <c r="N5" s="12" t="str">
        <f t="shared" si="3"/>
        <v/>
      </c>
      <c r="O5" s="12" t="str">
        <f>IF($N5=1,SUM($N$2:N5),"")</f>
        <v/>
      </c>
    </row>
    <row r="6" spans="1:16">
      <c r="A6" s="12" t="str">
        <f>IF(總表!A6="","",總表!A6)</f>
        <v>林振瑋</v>
      </c>
      <c r="B6" s="12" t="s">
        <v>112</v>
      </c>
      <c r="C6" s="12" t="str">
        <f>IF(總表!A6="","",總表!F6)</f>
        <v>聖路易紅雀</v>
      </c>
      <c r="D6" s="12" t="str">
        <f t="shared" si="0"/>
        <v/>
      </c>
      <c r="E6" s="12">
        <v>5</v>
      </c>
      <c r="F6" s="12">
        <f>IF(總表!A6="","",總表!K6)</f>
        <v>5</v>
      </c>
      <c r="G6" s="12" t="str">
        <f t="shared" si="1"/>
        <v/>
      </c>
      <c r="H6" s="12" t="str">
        <f>IF($G6="升級","▲ "&amp;總表!G6,IF($G6="下放","▼ "&amp;總表!G6,""))</f>
        <v/>
      </c>
      <c r="I6" s="12" t="s">
        <v>107</v>
      </c>
      <c r="J6" s="12" t="str">
        <f>IF(總表!A6="","",總表!H6)</f>
        <v>現役</v>
      </c>
      <c r="K6" s="12" t="str">
        <f>IF(總表!P6="","",總表!P6)</f>
        <v/>
      </c>
      <c r="L6" s="12" t="str">
        <f>IF(總表!Q6="","",總表!Q6)</f>
        <v/>
      </c>
      <c r="M6" s="12" t="str">
        <f t="shared" si="2"/>
        <v/>
      </c>
      <c r="N6" s="12" t="str">
        <f t="shared" si="3"/>
        <v/>
      </c>
      <c r="O6" s="12" t="str">
        <f>IF($N6=1,SUM($N$2:N6),"")</f>
        <v/>
      </c>
    </row>
    <row r="7" spans="1:16">
      <c r="A7" s="12" t="str">
        <f>IF(總表!A7="","",總表!A7)</f>
        <v>林維恩</v>
      </c>
      <c r="B7" s="12" t="s">
        <v>113</v>
      </c>
      <c r="C7" s="12" t="str">
        <f>IF(總表!A7="","",總表!F7)</f>
        <v>奧克蘭運動家</v>
      </c>
      <c r="D7" s="12" t="str">
        <f t="shared" si="0"/>
        <v/>
      </c>
      <c r="E7" s="12">
        <v>5</v>
      </c>
      <c r="F7" s="12">
        <f>IF(總表!A7="","",總表!K7)</f>
        <v>5</v>
      </c>
      <c r="G7" s="12" t="str">
        <f t="shared" si="1"/>
        <v/>
      </c>
      <c r="H7" s="12" t="str">
        <f>IF($G7="升級","▲ "&amp;總表!G7,IF($G7="下放","▼ "&amp;總表!G7,""))</f>
        <v/>
      </c>
      <c r="I7" s="12" t="s">
        <v>107</v>
      </c>
      <c r="J7" s="12" t="str">
        <f>IF(總表!A7="","",總表!H7)</f>
        <v>現役</v>
      </c>
      <c r="K7" s="12" t="str">
        <f>IF(總表!P7="","",總表!P7)</f>
        <v/>
      </c>
      <c r="L7" s="12" t="str">
        <f>IF(總表!Q7="","",總表!Q7)</f>
        <v/>
      </c>
      <c r="M7" s="12" t="str">
        <f t="shared" si="2"/>
        <v/>
      </c>
      <c r="N7" s="12" t="str">
        <f t="shared" si="3"/>
        <v/>
      </c>
      <c r="O7" s="12" t="str">
        <f>IF($N7=1,SUM($N$2:N7),"")</f>
        <v/>
      </c>
    </row>
    <row r="8" spans="1:16">
      <c r="A8" s="12" t="str">
        <f>IF(總表!A8="","",總表!A8)</f>
        <v>莊陳仲敖</v>
      </c>
      <c r="B8" s="12" t="s">
        <v>113</v>
      </c>
      <c r="C8" s="12" t="str">
        <f>IF(總表!A8="","",總表!F8)</f>
        <v>奧克蘭運動家</v>
      </c>
      <c r="D8" s="12" t="str">
        <f t="shared" si="0"/>
        <v/>
      </c>
      <c r="E8" s="12">
        <v>5</v>
      </c>
      <c r="F8" s="12">
        <f>IF(總表!A8="","",總表!K8)</f>
        <v>5</v>
      </c>
      <c r="G8" s="12" t="str">
        <f t="shared" si="1"/>
        <v/>
      </c>
      <c r="H8" s="12" t="str">
        <f>IF($G8="升級","▲ "&amp;總表!G8,IF($G8="下放","▼ "&amp;總表!G8,""))</f>
        <v/>
      </c>
      <c r="I8" s="12" t="s">
        <v>107</v>
      </c>
      <c r="J8" s="12" t="str">
        <f>IF(總表!A8="","",總表!H8)</f>
        <v>現役</v>
      </c>
      <c r="K8" s="12" t="str">
        <f>IF(總表!P8="","",總表!P8)</f>
        <v/>
      </c>
      <c r="L8" s="12" t="str">
        <f>IF(總表!Q8="","",總表!Q8)</f>
        <v/>
      </c>
      <c r="M8" s="12" t="str">
        <f t="shared" si="2"/>
        <v/>
      </c>
      <c r="N8" s="12" t="str">
        <f t="shared" si="3"/>
        <v/>
      </c>
      <c r="O8" s="12" t="str">
        <f>IF($N8=1,SUM($N$2:N8),"")</f>
        <v/>
      </c>
    </row>
    <row r="9" spans="1:16">
      <c r="A9" s="12" t="str">
        <f>IF(總表!A9="","",總表!A9)</f>
        <v>陳柏毓</v>
      </c>
      <c r="B9" s="12" t="s">
        <v>114</v>
      </c>
      <c r="C9" s="12" t="str">
        <f>IF(總表!A9="","",總表!F9)</f>
        <v>匹茲堡海盜</v>
      </c>
      <c r="D9" s="12" t="str">
        <f t="shared" si="0"/>
        <v/>
      </c>
      <c r="E9" s="12">
        <v>5</v>
      </c>
      <c r="F9" s="12">
        <f>IF(總表!A9="","",總表!K9)</f>
        <v>5</v>
      </c>
      <c r="G9" s="12" t="str">
        <f t="shared" si="1"/>
        <v/>
      </c>
      <c r="H9" s="12" t="str">
        <f>IF($G9="升級","▲ "&amp;總表!G9,IF($G9="下放","▼ "&amp;總表!G9,""))</f>
        <v/>
      </c>
      <c r="I9" s="12" t="s">
        <v>107</v>
      </c>
      <c r="J9" s="12" t="str">
        <f>IF(總表!A9="","",總表!H9)</f>
        <v>現役</v>
      </c>
      <c r="K9" s="12" t="str">
        <f>IF(總表!P9="","",總表!P9)</f>
        <v/>
      </c>
      <c r="L9" s="12" t="str">
        <f>IF(總表!Q9="","",總表!Q9)</f>
        <v/>
      </c>
      <c r="M9" s="12" t="str">
        <f t="shared" si="2"/>
        <v/>
      </c>
      <c r="N9" s="12" t="str">
        <f t="shared" si="3"/>
        <v/>
      </c>
      <c r="O9" s="12" t="str">
        <f>IF($N9=1,SUM($N$2:N9),"")</f>
        <v/>
      </c>
    </row>
    <row r="10" spans="1:16">
      <c r="A10" s="12" t="str">
        <f>IF(總表!A10="","",總表!A10)</f>
        <v>劉致榮</v>
      </c>
      <c r="B10" s="12" t="s">
        <v>111</v>
      </c>
      <c r="C10" s="12" t="str">
        <f>IF(總表!A10="","",總表!F10)</f>
        <v>波士頓紅襪</v>
      </c>
      <c r="D10" s="12" t="str">
        <f t="shared" si="0"/>
        <v/>
      </c>
      <c r="E10" s="12">
        <v>5</v>
      </c>
      <c r="F10" s="12">
        <f>IF(總表!A10="","",總表!K10)</f>
        <v>5</v>
      </c>
      <c r="G10" s="12" t="str">
        <f t="shared" si="1"/>
        <v/>
      </c>
      <c r="H10" s="12" t="str">
        <f>IF($G10="升級","▲ "&amp;總表!G10,IF($G10="下放","▼ "&amp;總表!G10,""))</f>
        <v/>
      </c>
      <c r="I10" s="12" t="s">
        <v>115</v>
      </c>
      <c r="J10" s="12" t="str">
        <f>IF(總表!A10="","",總表!H10)</f>
        <v>傷兵</v>
      </c>
      <c r="K10" s="12">
        <f>IF(總表!P10="","",總表!P10)</f>
        <v>60</v>
      </c>
      <c r="L10" s="12">
        <f>IF(總表!Q10="","",總表!Q10)</f>
        <v>39</v>
      </c>
      <c r="M10" s="12" t="str">
        <f t="shared" si="2"/>
        <v>⚕ IL(39/60)</v>
      </c>
      <c r="N10" s="12">
        <f t="shared" si="3"/>
        <v>1</v>
      </c>
      <c r="O10" s="12">
        <f>IF($N10=1,SUM($N$2:N10),"")</f>
        <v>1</v>
      </c>
    </row>
    <row r="11" spans="1:16">
      <c r="A11" s="12" t="str">
        <f>IF(總表!A11="","",總表!A11)</f>
        <v>沙子宸</v>
      </c>
      <c r="B11" s="12" t="s">
        <v>113</v>
      </c>
      <c r="C11" s="12" t="str">
        <f>IF(總表!A11="","",總表!F11)</f>
        <v>奧克蘭運動家</v>
      </c>
      <c r="D11" s="12" t="str">
        <f t="shared" si="0"/>
        <v/>
      </c>
      <c r="E11" s="12">
        <v>6</v>
      </c>
      <c r="F11" s="12">
        <f>IF(總表!A11="","",總表!K11)</f>
        <v>6</v>
      </c>
      <c r="G11" s="12" t="str">
        <f t="shared" si="1"/>
        <v/>
      </c>
      <c r="H11" s="12" t="str">
        <f>IF($G11="升級","▲ "&amp;總表!G11,IF($G11="下放","▼ "&amp;總表!G11,""))</f>
        <v/>
      </c>
      <c r="I11" s="12" t="s">
        <v>107</v>
      </c>
      <c r="J11" s="12" t="str">
        <f>IF(總表!A11="","",總表!H11)</f>
        <v>現役</v>
      </c>
      <c r="K11" s="12" t="str">
        <f>IF(總表!P11="","",總表!P11)</f>
        <v/>
      </c>
      <c r="L11" s="12" t="str">
        <f>IF(總表!Q11="","",總表!Q11)</f>
        <v/>
      </c>
      <c r="M11" s="12" t="str">
        <f t="shared" si="2"/>
        <v/>
      </c>
      <c r="N11" s="12" t="str">
        <f t="shared" si="3"/>
        <v/>
      </c>
      <c r="O11" s="12" t="str">
        <f>IF($N11=1,SUM($N$2:N11),"")</f>
        <v/>
      </c>
    </row>
    <row r="12" spans="1:16">
      <c r="A12" s="12" t="str">
        <f>IF(總表!A12="","",總表!A12)</f>
        <v>張弘稜</v>
      </c>
      <c r="B12" s="12" t="s">
        <v>114</v>
      </c>
      <c r="C12" s="12" t="str">
        <f>IF(總表!A12="","",總表!F12)</f>
        <v>匹茲堡海盜</v>
      </c>
      <c r="D12" s="12" t="str">
        <f t="shared" si="0"/>
        <v/>
      </c>
      <c r="E12" s="12">
        <v>6</v>
      </c>
      <c r="F12" s="12">
        <f>IF(總表!A12="","",總表!K12)</f>
        <v>6</v>
      </c>
      <c r="G12" s="12" t="str">
        <f t="shared" si="1"/>
        <v/>
      </c>
      <c r="H12" s="12" t="str">
        <f>IF($G12="升級","▲ "&amp;總表!G12,IF($G12="下放","▼ "&amp;總表!G12,""))</f>
        <v/>
      </c>
      <c r="I12" s="12" t="s">
        <v>107</v>
      </c>
      <c r="J12" s="12" t="str">
        <f>IF(總表!A12="","",總表!H12)</f>
        <v>現役</v>
      </c>
      <c r="K12" s="12" t="str">
        <f>IF(總表!P12="","",總表!P12)</f>
        <v/>
      </c>
      <c r="L12" s="12" t="str">
        <f>IF(總表!Q12="","",總表!Q12)</f>
        <v/>
      </c>
      <c r="M12" s="12" t="str">
        <f t="shared" si="2"/>
        <v/>
      </c>
      <c r="N12" s="12" t="str">
        <f t="shared" si="3"/>
        <v/>
      </c>
      <c r="O12" s="12" t="str">
        <f>IF($N12=1,SUM($N$2:N12),"")</f>
        <v/>
      </c>
    </row>
    <row r="13" spans="1:16">
      <c r="A13" s="12" t="str">
        <f>IF(總表!A13="","",總表!A13)</f>
        <v>沈家羲</v>
      </c>
      <c r="B13" s="12" t="s">
        <v>117</v>
      </c>
      <c r="C13" s="12" t="str">
        <f>IF(總表!A13="","",總表!F13)</f>
        <v>西雅圖水手</v>
      </c>
      <c r="D13" s="12" t="str">
        <f t="shared" si="0"/>
        <v/>
      </c>
      <c r="E13" s="12">
        <v>7</v>
      </c>
      <c r="F13" s="12">
        <f>IF(總表!A13="","",總表!K13)</f>
        <v>7</v>
      </c>
      <c r="G13" s="12" t="str">
        <f t="shared" si="1"/>
        <v/>
      </c>
      <c r="H13" s="12" t="str">
        <f>IF($G13="升級","▲ "&amp;總表!G13,IF($G13="下放","▼ "&amp;總表!G13,""))</f>
        <v/>
      </c>
      <c r="I13" s="12" t="s">
        <v>115</v>
      </c>
      <c r="J13" s="12" t="str">
        <f>IF(總表!A13="","",總表!H13)</f>
        <v>傷兵</v>
      </c>
      <c r="K13" s="12">
        <f>IF(總表!P13="","",總表!P13)</f>
        <v>60</v>
      </c>
      <c r="L13" s="12">
        <f>IF(總表!Q13="","",總表!Q13)</f>
        <v>39</v>
      </c>
      <c r="M13" s="12" t="str">
        <f t="shared" si="2"/>
        <v>⚕ IL(39/60)</v>
      </c>
      <c r="N13" s="12">
        <f t="shared" si="3"/>
        <v>1</v>
      </c>
      <c r="O13" s="12">
        <f>IF($N13=1,SUM($N$2:N13),"")</f>
        <v>2</v>
      </c>
    </row>
    <row r="14" spans="1:16">
      <c r="A14" s="12" t="str">
        <f>IF(總表!A14="","",總表!A14)</f>
        <v>林盛恩</v>
      </c>
      <c r="B14" s="12" t="s">
        <v>118</v>
      </c>
      <c r="C14" s="12" t="str">
        <f>IF(總表!A14="","",總表!F14)</f>
        <v>辛辛那提紅人</v>
      </c>
      <c r="D14" s="12" t="str">
        <f t="shared" si="0"/>
        <v/>
      </c>
      <c r="E14" s="12">
        <v>7</v>
      </c>
      <c r="F14" s="12">
        <f>IF(總表!A14="","",總表!K14)</f>
        <v>7</v>
      </c>
      <c r="G14" s="12" t="str">
        <f t="shared" si="1"/>
        <v/>
      </c>
      <c r="H14" s="12" t="str">
        <f>IF($G14="升級","▲ "&amp;總表!G14,IF($G14="下放","▼ "&amp;總表!G14,""))</f>
        <v/>
      </c>
      <c r="I14" s="12" t="s">
        <v>107</v>
      </c>
      <c r="J14" s="12" t="str">
        <f>IF(總表!A14="","",總表!H14)</f>
        <v>現役</v>
      </c>
      <c r="K14" s="12" t="str">
        <f>IF(總表!P14="","",總表!P14)</f>
        <v/>
      </c>
      <c r="L14" s="12" t="str">
        <f>IF(總表!Q14="","",總表!Q14)</f>
        <v/>
      </c>
      <c r="M14" s="12" t="str">
        <f t="shared" si="2"/>
        <v/>
      </c>
      <c r="N14" s="12" t="str">
        <f t="shared" si="3"/>
        <v/>
      </c>
      <c r="O14" s="12" t="str">
        <f>IF($N14=1,SUM($N$2:N14),"")</f>
        <v/>
      </c>
    </row>
    <row r="15" spans="1:16">
      <c r="A15" s="12" t="str">
        <f>IF(總表!A15="","",總表!A15)</f>
        <v>柯敬賢</v>
      </c>
      <c r="B15" s="12" t="s">
        <v>120</v>
      </c>
      <c r="C15" s="12" t="str">
        <f>IF(總表!A15="","",總表!F15)</f>
        <v>洛杉磯道奇</v>
      </c>
      <c r="D15" s="12" t="str">
        <f t="shared" si="0"/>
        <v/>
      </c>
      <c r="E15" s="12">
        <v>7</v>
      </c>
      <c r="F15" s="12">
        <f>IF(總表!A15="","",總表!K15)</f>
        <v>7</v>
      </c>
      <c r="G15" s="12" t="str">
        <f t="shared" si="1"/>
        <v/>
      </c>
      <c r="H15" s="12" t="str">
        <f>IF($G15="升級","▲ "&amp;總表!G15,IF($G15="下放","▼ "&amp;總表!G15,""))</f>
        <v/>
      </c>
      <c r="I15" s="12" t="s">
        <v>107</v>
      </c>
      <c r="J15" s="12" t="str">
        <f>IF(總表!A15="","",總表!H15)</f>
        <v>現役</v>
      </c>
      <c r="K15" s="12" t="str">
        <f>IF(總表!P15="","",總表!P15)</f>
        <v/>
      </c>
      <c r="L15" s="12" t="str">
        <f>IF(總表!Q15="","",總表!Q15)</f>
        <v/>
      </c>
      <c r="M15" s="12" t="str">
        <f t="shared" si="2"/>
        <v/>
      </c>
      <c r="N15" s="12" t="str">
        <f t="shared" si="3"/>
        <v/>
      </c>
      <c r="O15" s="12" t="str">
        <f>IF($N15=1,SUM($N$2:N15),"")</f>
        <v/>
      </c>
    </row>
    <row r="16" spans="1:16">
      <c r="A16" s="12" t="str">
        <f>IF(總表!A16="","",總表!A16)</f>
        <v>黃仲翔</v>
      </c>
      <c r="B16" s="12" t="s">
        <v>110</v>
      </c>
      <c r="C16" s="12" t="str">
        <f>IF(總表!A16="","",總表!F16)</f>
        <v>亞利桑那響尾蛇</v>
      </c>
      <c r="D16" s="12" t="str">
        <f t="shared" si="0"/>
        <v/>
      </c>
      <c r="E16" s="12">
        <v>7</v>
      </c>
      <c r="F16" s="12">
        <f>IF(總表!A16="","",總表!K16)</f>
        <v>7</v>
      </c>
      <c r="G16" s="12" t="str">
        <f t="shared" si="1"/>
        <v/>
      </c>
      <c r="H16" s="12" t="str">
        <f>IF($G16="升級","▲ "&amp;總表!G16,IF($G16="下放","▼ "&amp;總表!G16,""))</f>
        <v/>
      </c>
      <c r="I16" s="12" t="s">
        <v>107</v>
      </c>
      <c r="J16" s="12" t="str">
        <f>IF(總表!A16="","",總表!H16)</f>
        <v>現役</v>
      </c>
      <c r="K16" s="12" t="str">
        <f>IF(總表!P16="","",總表!P16)</f>
        <v/>
      </c>
      <c r="L16" s="12" t="str">
        <f>IF(總表!Q16="","",總表!Q16)</f>
        <v/>
      </c>
      <c r="M16" s="12" t="str">
        <f t="shared" si="2"/>
        <v/>
      </c>
      <c r="N16" s="12" t="str">
        <f t="shared" si="3"/>
        <v/>
      </c>
      <c r="O16" s="12" t="str">
        <f>IF($N16=1,SUM($N$2:N16),"")</f>
        <v/>
      </c>
    </row>
    <row r="17" spans="1:15">
      <c r="A17" s="12" t="str">
        <f>IF(總表!A17="","",總表!A17)</f>
        <v>潘文輝</v>
      </c>
      <c r="B17" s="12" t="s">
        <v>121</v>
      </c>
      <c r="C17" s="12" t="str">
        <f>IF(總表!A17="","",總表!F17)</f>
        <v>費城費城人</v>
      </c>
      <c r="D17" s="12" t="str">
        <f t="shared" si="0"/>
        <v/>
      </c>
      <c r="E17" s="12">
        <v>7</v>
      </c>
      <c r="F17" s="12">
        <f>IF(總表!A17="","",總表!K17)</f>
        <v>7</v>
      </c>
      <c r="G17" s="12" t="str">
        <f t="shared" si="1"/>
        <v/>
      </c>
      <c r="H17" s="12" t="str">
        <f>IF($G17="升級","▲ "&amp;總表!G17,IF($G17="下放","▼ "&amp;總表!G17,""))</f>
        <v/>
      </c>
      <c r="I17" s="12" t="s">
        <v>107</v>
      </c>
      <c r="J17" s="12" t="str">
        <f>IF(總表!A17="","",總表!H17)</f>
        <v>現役</v>
      </c>
      <c r="K17" s="12" t="str">
        <f>IF(總表!P17="","",總表!P17)</f>
        <v/>
      </c>
      <c r="L17" s="12" t="str">
        <f>IF(總表!Q17="","",總表!Q17)</f>
        <v/>
      </c>
      <c r="M17" s="12" t="str">
        <f t="shared" si="2"/>
        <v/>
      </c>
      <c r="N17" s="12" t="str">
        <f t="shared" si="3"/>
        <v/>
      </c>
      <c r="O17" s="12" t="str">
        <f>IF($N17=1,SUM($N$2:N17),"")</f>
        <v/>
      </c>
    </row>
    <row r="18" spans="1:15">
      <c r="A18" s="12" t="str">
        <f>IF(總表!A18="","",總表!A18)</f>
        <v>李晨薰</v>
      </c>
      <c r="B18" s="12" t="s">
        <v>122</v>
      </c>
      <c r="C18" s="12" t="str">
        <f>IF(總表!A18="","",總表!F18)</f>
        <v>舊金山巨人</v>
      </c>
      <c r="D18" s="12" t="str">
        <f t="shared" si="0"/>
        <v/>
      </c>
      <c r="E18" s="12">
        <v>8</v>
      </c>
      <c r="F18" s="12">
        <f>IF(總表!A18="","",總表!K18)</f>
        <v>8</v>
      </c>
      <c r="G18" s="12" t="str">
        <f t="shared" si="1"/>
        <v/>
      </c>
      <c r="H18" s="12" t="str">
        <f>IF($G18="升級","▲ "&amp;總表!G18,IF($G18="下放","▼ "&amp;總表!G18,""))</f>
        <v/>
      </c>
      <c r="I18" s="12" t="s">
        <v>107</v>
      </c>
      <c r="J18" s="12" t="str">
        <f>IF(總表!A18="","",總表!H18)</f>
        <v>現役</v>
      </c>
      <c r="K18" s="12" t="str">
        <f>IF(總表!P18="","",總表!P18)</f>
        <v/>
      </c>
      <c r="L18" s="12" t="str">
        <f>IF(總表!Q18="","",總表!Q18)</f>
        <v/>
      </c>
      <c r="M18" s="12" t="str">
        <f t="shared" si="2"/>
        <v/>
      </c>
      <c r="N18" s="12" t="str">
        <f t="shared" si="3"/>
        <v/>
      </c>
      <c r="O18" s="12" t="str">
        <f>IF($N18=1,SUM($N$2:N18),"")</f>
        <v/>
      </c>
    </row>
    <row r="19" spans="1:15">
      <c r="A19" s="12" t="str">
        <f>IF(總表!A19="","",總表!A19)</f>
        <v>林張子俊</v>
      </c>
      <c r="B19" s="12" t="s">
        <v>124</v>
      </c>
      <c r="C19" s="12" t="str">
        <f>IF(總表!A19="","",總表!F19)</f>
        <v>密爾瓦基釀酒人</v>
      </c>
      <c r="D19" s="12" t="str">
        <f t="shared" si="0"/>
        <v/>
      </c>
      <c r="E19" s="12">
        <v>8</v>
      </c>
      <c r="F19" s="12">
        <f>IF(總表!A19="","",總表!K19)</f>
        <v>8</v>
      </c>
      <c r="G19" s="12" t="str">
        <f t="shared" si="1"/>
        <v/>
      </c>
      <c r="H19" s="12" t="str">
        <f>IF($G19="升級","▲ "&amp;總表!G19,IF($G19="下放","▼ "&amp;總表!G19,""))</f>
        <v/>
      </c>
      <c r="I19" s="12" t="s">
        <v>107</v>
      </c>
      <c r="J19" s="12" t="str">
        <f>IF(總表!A19="","",總表!H19)</f>
        <v>現役</v>
      </c>
      <c r="K19" s="12" t="str">
        <f>IF(總表!P19="","",總表!P19)</f>
        <v/>
      </c>
      <c r="L19" s="12" t="str">
        <f>IF(總表!Q19="","",總表!Q19)</f>
        <v/>
      </c>
      <c r="M19" s="12" t="str">
        <f t="shared" si="2"/>
        <v/>
      </c>
      <c r="N19" s="12" t="str">
        <f t="shared" si="3"/>
        <v/>
      </c>
      <c r="O19" s="12" t="str">
        <f>IF($N19=1,SUM($N$2:N19),"")</f>
        <v/>
      </c>
    </row>
    <row r="20" spans="1:15">
      <c r="A20" s="12" t="str">
        <f>IF(總表!A20="","",總表!A20)</f>
        <v>林鉑濬</v>
      </c>
      <c r="B20" s="12" t="s">
        <v>117</v>
      </c>
      <c r="C20" s="12" t="str">
        <f>IF(總表!A20="","",總表!F20)</f>
        <v>西雅圖水手</v>
      </c>
      <c r="D20" s="12" t="str">
        <f t="shared" si="0"/>
        <v/>
      </c>
      <c r="E20" s="12">
        <v>8</v>
      </c>
      <c r="F20" s="12">
        <f>IF(總表!A20="","",總表!K20)</f>
        <v>8</v>
      </c>
      <c r="G20" s="12" t="str">
        <f t="shared" si="1"/>
        <v/>
      </c>
      <c r="H20" s="12" t="str">
        <f>IF($G20="升級","▲ "&amp;總表!G20,IF($G20="下放","▼ "&amp;總表!G20,""))</f>
        <v/>
      </c>
      <c r="I20" s="12" t="s">
        <v>107</v>
      </c>
      <c r="J20" s="12" t="str">
        <f>IF(總表!A20="","",總表!H20)</f>
        <v>現役</v>
      </c>
      <c r="K20" s="12" t="str">
        <f>IF(總表!P20="","",總表!P20)</f>
        <v/>
      </c>
      <c r="L20" s="12" t="str">
        <f>IF(總表!Q20="","",總表!Q20)</f>
        <v/>
      </c>
      <c r="M20" s="12" t="str">
        <f t="shared" si="2"/>
        <v/>
      </c>
      <c r="N20" s="12" t="str">
        <f t="shared" si="3"/>
        <v/>
      </c>
      <c r="O20" s="12" t="str">
        <f>IF($N20=1,SUM($N$2:N20),"")</f>
        <v/>
      </c>
    </row>
    <row r="21" spans="1:15">
      <c r="A21" s="12" t="str">
        <f>IF(總表!A21="","",總表!A21)</f>
        <v>陽念希</v>
      </c>
      <c r="B21" s="12" t="s">
        <v>122</v>
      </c>
      <c r="C21" s="12" t="str">
        <f>IF(總表!A21="","",總表!F21)</f>
        <v>舊金山巨人</v>
      </c>
      <c r="D21" s="12" t="str">
        <f t="shared" si="0"/>
        <v/>
      </c>
      <c r="E21" s="12">
        <v>8</v>
      </c>
      <c r="F21" s="12">
        <f>IF(總表!A21="","",總表!K21)</f>
        <v>8</v>
      </c>
      <c r="G21" s="12" t="str">
        <f t="shared" si="1"/>
        <v/>
      </c>
      <c r="H21" s="12" t="str">
        <f>IF($G21="升級","▲ "&amp;總表!G21,IF($G21="下放","▼ "&amp;總表!G21,""))</f>
        <v/>
      </c>
      <c r="I21" s="12" t="s">
        <v>107</v>
      </c>
      <c r="J21" s="12" t="str">
        <f>IF(總表!A21="","",總表!H21)</f>
        <v>現役</v>
      </c>
      <c r="K21" s="12" t="str">
        <f>IF(總表!P21="","",總表!P21)</f>
        <v/>
      </c>
      <c r="L21" s="12" t="str">
        <f>IF(總表!Q21="","",總表!Q21)</f>
        <v/>
      </c>
      <c r="M21" s="12" t="str">
        <f t="shared" si="2"/>
        <v/>
      </c>
      <c r="N21" s="12" t="str">
        <f t="shared" si="3"/>
        <v/>
      </c>
      <c r="O21" s="12" t="str">
        <f>IF($N21=1,SUM($N$2:N21),"")</f>
        <v/>
      </c>
    </row>
    <row r="22" spans="1:15">
      <c r="A22" s="12" t="str">
        <f>IF(總表!A22="","",總表!A22)</f>
        <v>廖宥霖</v>
      </c>
      <c r="B22" s="12" t="s">
        <v>124</v>
      </c>
      <c r="C22" s="12" t="str">
        <f>IF(總表!A22="","",總表!F22)</f>
        <v>密爾瓦基釀酒人</v>
      </c>
      <c r="D22" s="12" t="str">
        <f t="shared" si="0"/>
        <v/>
      </c>
      <c r="E22" s="12">
        <v>8</v>
      </c>
      <c r="F22" s="12">
        <f>IF(總表!A22="","",總表!K22)</f>
        <v>8</v>
      </c>
      <c r="G22" s="12" t="str">
        <f t="shared" si="1"/>
        <v/>
      </c>
      <c r="H22" s="12" t="str">
        <f>IF($G22="升級","▲ "&amp;總表!G22,IF($G22="下放","▼ "&amp;總表!G22,""))</f>
        <v/>
      </c>
      <c r="I22" s="12" t="s">
        <v>107</v>
      </c>
      <c r="J22" s="12" t="str">
        <f>IF(總表!A22="","",總表!H22)</f>
        <v>現役</v>
      </c>
      <c r="K22" s="12" t="str">
        <f>IF(總表!P22="","",總表!P22)</f>
        <v/>
      </c>
      <c r="L22" s="12" t="str">
        <f>IF(總表!Q22="","",總表!Q22)</f>
        <v/>
      </c>
      <c r="M22" s="12" t="str">
        <f t="shared" si="2"/>
        <v/>
      </c>
      <c r="N22" s="12" t="str">
        <f t="shared" si="3"/>
        <v/>
      </c>
      <c r="O22" s="12" t="str">
        <f>IF($N22=1,SUM($N$2:N22),"")</f>
        <v/>
      </c>
    </row>
    <row r="23" spans="1:15">
      <c r="A23" s="12" t="str">
        <f>IF(總表!A23="","",總表!A23)</f>
        <v>蘇嵐鴻</v>
      </c>
      <c r="B23" s="12" t="s">
        <v>126</v>
      </c>
      <c r="C23" s="12" t="str">
        <f>IF(總表!A23="","",總表!F23)</f>
        <v>聖地牙哥教士</v>
      </c>
      <c r="D23" s="12" t="str">
        <f t="shared" si="0"/>
        <v/>
      </c>
      <c r="E23" s="12">
        <v>8</v>
      </c>
      <c r="F23" s="12">
        <f>IF(總表!A23="","",總表!K23)</f>
        <v>8</v>
      </c>
      <c r="G23" s="12" t="str">
        <f t="shared" si="1"/>
        <v/>
      </c>
      <c r="H23" s="12" t="str">
        <f>IF($G23="升級","▲ "&amp;總表!G23,IF($G23="下放","▼ "&amp;總表!G23,""))</f>
        <v/>
      </c>
      <c r="I23" s="12" t="s">
        <v>107</v>
      </c>
      <c r="J23" s="12" t="str">
        <f>IF(總表!A23="","",總表!H23)</f>
        <v>現役</v>
      </c>
      <c r="K23" s="12" t="str">
        <f>IF(總表!P23="","",總表!P23)</f>
        <v/>
      </c>
      <c r="L23" s="12" t="str">
        <f>IF(總表!Q23="","",總表!Q23)</f>
        <v/>
      </c>
      <c r="M23" s="12" t="str">
        <f t="shared" si="2"/>
        <v/>
      </c>
      <c r="N23" s="12" t="str">
        <f t="shared" si="3"/>
        <v/>
      </c>
      <c r="O23" s="12" t="str">
        <f>IF($N23=1,SUM($N$2:N23),"")</f>
        <v/>
      </c>
    </row>
    <row r="24" spans="1:15">
      <c r="A24" s="12" t="str">
        <f>IF(總表!A24="","",總表!A24)</f>
        <v>宋家豪</v>
      </c>
      <c r="B24" s="12" t="s">
        <v>130</v>
      </c>
      <c r="C24" s="12" t="str">
        <f>IF(總表!A24="","",總表!F24)</f>
        <v>東北樂天金鷲</v>
      </c>
      <c r="D24" s="12" t="str">
        <f t="shared" si="0"/>
        <v/>
      </c>
      <c r="E24" s="12">
        <v>2</v>
      </c>
      <c r="F24" s="12">
        <f>IF(總表!A24="","",總表!K24)</f>
        <v>2</v>
      </c>
      <c r="G24" s="12" t="str">
        <f t="shared" si="1"/>
        <v/>
      </c>
      <c r="H24" s="12" t="str">
        <f>IF($G24="升級","▲ "&amp;總表!G24,IF($G24="下放","▼ "&amp;總表!G24,""))</f>
        <v/>
      </c>
      <c r="I24" s="12" t="s">
        <v>107</v>
      </c>
      <c r="J24" s="12" t="str">
        <f>IF(總表!A24="","",總表!H24)</f>
        <v>現役</v>
      </c>
      <c r="K24" s="12" t="str">
        <f>IF(總表!P24="","",總表!P24)</f>
        <v/>
      </c>
      <c r="L24" s="12" t="str">
        <f>IF(總表!Q24="","",總表!Q24)</f>
        <v/>
      </c>
      <c r="M24" s="12" t="str">
        <f t="shared" si="2"/>
        <v/>
      </c>
      <c r="N24" s="12" t="str">
        <f t="shared" si="3"/>
        <v/>
      </c>
      <c r="O24" s="12" t="str">
        <f>IF($N24=1,SUM($N$2:N24),"")</f>
        <v/>
      </c>
    </row>
    <row r="25" spans="1:15">
      <c r="A25" s="12" t="str">
        <f>IF(總表!A25="","",總表!A25)</f>
        <v>林安可</v>
      </c>
      <c r="B25" s="12" t="s">
        <v>131</v>
      </c>
      <c r="C25" s="12" t="str">
        <f>IF(總表!A25="","",總表!F25)</f>
        <v>埼玉西武獅</v>
      </c>
      <c r="D25" s="12" t="str">
        <f t="shared" si="0"/>
        <v/>
      </c>
      <c r="E25" s="12">
        <v>2</v>
      </c>
      <c r="F25" s="12">
        <f>IF(總表!A25="","",總表!K25)</f>
        <v>2</v>
      </c>
      <c r="G25" s="12" t="str">
        <f t="shared" si="1"/>
        <v/>
      </c>
      <c r="H25" s="12" t="str">
        <f>IF($G25="升級","▲ "&amp;總表!G25,IF($G25="下放","▼ "&amp;總表!G25,""))</f>
        <v/>
      </c>
      <c r="I25" s="12" t="s">
        <v>107</v>
      </c>
      <c r="J25" s="12" t="str">
        <f>IF(總表!A25="","",總表!H25)</f>
        <v>現役</v>
      </c>
      <c r="K25" s="12" t="str">
        <f>IF(總表!P25="","",總表!P25)</f>
        <v/>
      </c>
      <c r="L25" s="12" t="str">
        <f>IF(總表!Q25="","",總表!Q25)</f>
        <v/>
      </c>
      <c r="M25" s="12" t="str">
        <f t="shared" si="2"/>
        <v/>
      </c>
      <c r="N25" s="12" t="str">
        <f t="shared" si="3"/>
        <v/>
      </c>
      <c r="O25" s="12" t="str">
        <f>IF($N25=1,SUM($N$2:N25),"")</f>
        <v/>
      </c>
    </row>
    <row r="26" spans="1:15">
      <c r="A26" s="12" t="str">
        <f>IF(總表!A26="","",總表!A26)</f>
        <v>古林睿煬</v>
      </c>
      <c r="B26" s="12" t="s">
        <v>132</v>
      </c>
      <c r="C26" s="12" t="str">
        <f>IF(總表!A26="","",總表!F26)</f>
        <v>北海道日本火腿鬥士</v>
      </c>
      <c r="D26" s="12" t="str">
        <f t="shared" si="0"/>
        <v/>
      </c>
      <c r="E26" s="12">
        <v>9</v>
      </c>
      <c r="F26" s="12">
        <f>IF(總表!A26="","",總表!K26)</f>
        <v>9</v>
      </c>
      <c r="G26" s="12" t="str">
        <f t="shared" si="1"/>
        <v/>
      </c>
      <c r="H26" s="12" t="str">
        <f>IF($G26="升級","▲ "&amp;總表!G26,IF($G26="下放","▼ "&amp;總表!G26,""))</f>
        <v/>
      </c>
      <c r="I26" s="12" t="s">
        <v>107</v>
      </c>
      <c r="J26" s="12" t="str">
        <f>IF(總表!A26="","",總表!H26)</f>
        <v>現役</v>
      </c>
      <c r="K26" s="12" t="str">
        <f>IF(總表!P26="","",總表!P26)</f>
        <v/>
      </c>
      <c r="L26" s="12" t="str">
        <f>IF(總表!Q26="","",總表!Q26)</f>
        <v/>
      </c>
      <c r="M26" s="12" t="str">
        <f t="shared" si="2"/>
        <v/>
      </c>
      <c r="N26" s="12" t="str">
        <f t="shared" si="3"/>
        <v/>
      </c>
      <c r="O26" s="12" t="str">
        <f>IF($N26=1,SUM($N$2:N26),"")</f>
        <v/>
      </c>
    </row>
    <row r="27" spans="1:15">
      <c r="A27" s="12" t="str">
        <f>IF(總表!A27="","",總表!A27)</f>
        <v>林冠臣</v>
      </c>
      <c r="B27" s="12" t="s">
        <v>131</v>
      </c>
      <c r="C27" s="12" t="str">
        <f>IF(總表!A27="","",總表!F27)</f>
        <v>埼玉西武獅</v>
      </c>
      <c r="D27" s="12" t="str">
        <f t="shared" si="0"/>
        <v/>
      </c>
      <c r="E27" s="12">
        <v>9</v>
      </c>
      <c r="F27" s="12">
        <f>IF(總表!A27="","",總表!K27)</f>
        <v>9</v>
      </c>
      <c r="G27" s="12" t="str">
        <f t="shared" si="1"/>
        <v/>
      </c>
      <c r="H27" s="12" t="str">
        <f>IF($G27="升級","▲ "&amp;總表!G27,IF($G27="下放","▼ "&amp;總表!G27,""))</f>
        <v/>
      </c>
      <c r="I27" s="12" t="s">
        <v>107</v>
      </c>
      <c r="J27" s="12" t="str">
        <f>IF(總表!A27="","",總表!H27)</f>
        <v>現役</v>
      </c>
      <c r="K27" s="12" t="str">
        <f>IF(總表!P27="","",總表!P27)</f>
        <v/>
      </c>
      <c r="L27" s="12" t="str">
        <f>IF(總表!Q27="","",總表!Q27)</f>
        <v/>
      </c>
      <c r="M27" s="12" t="str">
        <f t="shared" si="2"/>
        <v/>
      </c>
      <c r="N27" s="12" t="str">
        <f t="shared" si="3"/>
        <v/>
      </c>
      <c r="O27" s="12" t="str">
        <f>IF($N27=1,SUM($N$2:N27),"")</f>
        <v/>
      </c>
    </row>
    <row r="28" spans="1:15">
      <c r="A28" s="12" t="str">
        <f>IF(總表!A28="","",總表!A28)</f>
        <v>林家正</v>
      </c>
      <c r="B28" s="12" t="s">
        <v>132</v>
      </c>
      <c r="C28" s="12" t="str">
        <f>IF(總表!A28="","",總表!F28)</f>
        <v>北海道日本火腿鬥士</v>
      </c>
      <c r="D28" s="12" t="str">
        <f t="shared" si="0"/>
        <v/>
      </c>
      <c r="E28" s="12">
        <v>9</v>
      </c>
      <c r="F28" s="12">
        <f>IF(總表!A28="","",總表!K28)</f>
        <v>9</v>
      </c>
      <c r="G28" s="12" t="str">
        <f t="shared" si="1"/>
        <v/>
      </c>
      <c r="H28" s="12" t="str">
        <f>IF($G28="升級","▲ "&amp;總表!G28,IF($G28="下放","▼ "&amp;總表!G28,""))</f>
        <v/>
      </c>
      <c r="I28" s="12" t="s">
        <v>107</v>
      </c>
      <c r="J28" s="12" t="str">
        <f>IF(總表!A28="","",總表!H28)</f>
        <v>現役</v>
      </c>
      <c r="K28" s="12" t="str">
        <f>IF(總表!P28="","",總表!P28)</f>
        <v/>
      </c>
      <c r="L28" s="12" t="str">
        <f>IF(總表!Q28="","",總表!Q28)</f>
        <v/>
      </c>
      <c r="M28" s="12" t="str">
        <f t="shared" si="2"/>
        <v/>
      </c>
      <c r="N28" s="12" t="str">
        <f t="shared" si="3"/>
        <v/>
      </c>
      <c r="O28" s="12" t="str">
        <f>IF($N28=1,SUM($N$2:N28),"")</f>
        <v/>
      </c>
    </row>
    <row r="29" spans="1:15">
      <c r="A29" s="12" t="str">
        <f>IF(總表!A29="","",總表!A29)</f>
        <v>孫易磊</v>
      </c>
      <c r="B29" s="12" t="s">
        <v>132</v>
      </c>
      <c r="C29" s="12" t="str">
        <f>IF(總表!A29="","",總表!F29)</f>
        <v>北海道日本火腿鬥士</v>
      </c>
      <c r="D29" s="12" t="str">
        <f t="shared" si="0"/>
        <v/>
      </c>
      <c r="E29" s="12">
        <v>9</v>
      </c>
      <c r="F29" s="12">
        <f>IF(總表!A29="","",總表!K29)</f>
        <v>9</v>
      </c>
      <c r="G29" s="12" t="str">
        <f t="shared" si="1"/>
        <v/>
      </c>
      <c r="H29" s="12" t="str">
        <f>IF($G29="升級","▲ "&amp;總表!G29,IF($G29="下放","▼ "&amp;總表!G29,""))</f>
        <v/>
      </c>
      <c r="I29" s="12" t="s">
        <v>107</v>
      </c>
      <c r="J29" s="12" t="str">
        <f>IF(總表!A29="","",總表!H29)</f>
        <v>現役</v>
      </c>
      <c r="K29" s="12" t="str">
        <f>IF(總表!P29="","",總表!P29)</f>
        <v/>
      </c>
      <c r="L29" s="12" t="str">
        <f>IF(總表!Q29="","",總表!Q29)</f>
        <v/>
      </c>
      <c r="M29" s="12" t="str">
        <f t="shared" si="2"/>
        <v/>
      </c>
      <c r="N29" s="12" t="str">
        <f t="shared" si="3"/>
        <v/>
      </c>
      <c r="O29" s="12" t="str">
        <f>IF($N29=1,SUM($N$2:N29),"")</f>
        <v/>
      </c>
    </row>
    <row r="30" spans="1:15">
      <c r="A30" s="12" t="str">
        <f>IF(總表!A30="","",總表!A30)</f>
        <v>徐若熙</v>
      </c>
      <c r="B30" s="12" t="s">
        <v>134</v>
      </c>
      <c r="C30" s="12" t="str">
        <f>IF(總表!A30="","",總表!F30)</f>
        <v>福岡軟銀鷹</v>
      </c>
      <c r="D30" s="12" t="str">
        <f t="shared" si="0"/>
        <v/>
      </c>
      <c r="E30" s="12">
        <v>9</v>
      </c>
      <c r="F30" s="12">
        <f>IF(總表!A30="","",總表!K30)</f>
        <v>9</v>
      </c>
      <c r="G30" s="12" t="str">
        <f t="shared" si="1"/>
        <v/>
      </c>
      <c r="H30" s="12" t="str">
        <f>IF($G30="升級","▲ "&amp;總表!G30,IF($G30="下放","▼ "&amp;總表!G30,""))</f>
        <v/>
      </c>
      <c r="I30" s="12" t="s">
        <v>107</v>
      </c>
      <c r="J30" s="12" t="str">
        <f>IF(總表!A30="","",總表!H30)</f>
        <v>現役</v>
      </c>
      <c r="K30" s="12" t="str">
        <f>IF(總表!P30="","",總表!P30)</f>
        <v/>
      </c>
      <c r="L30" s="12" t="str">
        <f>IF(總表!Q30="","",總表!Q30)</f>
        <v/>
      </c>
      <c r="M30" s="12" t="str">
        <f t="shared" si="2"/>
        <v/>
      </c>
      <c r="N30" s="12" t="str">
        <f t="shared" si="3"/>
        <v/>
      </c>
      <c r="O30" s="12" t="str">
        <f>IF($N30=1,SUM($N$2:N30),"")</f>
        <v/>
      </c>
    </row>
    <row r="31" spans="1:15">
      <c r="A31" s="12" t="str">
        <f>IF(總表!A31="","",總表!A31)</f>
        <v>徐翔聖</v>
      </c>
      <c r="B31" s="12" t="s">
        <v>135</v>
      </c>
      <c r="C31" s="12" t="str">
        <f>IF(總表!A31="","",總表!F31)</f>
        <v>東京養樂多燕子</v>
      </c>
      <c r="D31" s="12" t="str">
        <f t="shared" si="0"/>
        <v/>
      </c>
      <c r="E31" s="12">
        <v>9</v>
      </c>
      <c r="F31" s="12">
        <f>IF(總表!A31="","",總表!K31)</f>
        <v>9</v>
      </c>
      <c r="G31" s="12" t="str">
        <f t="shared" si="1"/>
        <v/>
      </c>
      <c r="H31" s="12" t="str">
        <f>IF($G31="升級","▲ "&amp;總表!G31,IF($G31="下放","▼ "&amp;總表!G31,""))</f>
        <v/>
      </c>
      <c r="I31" s="12" t="s">
        <v>107</v>
      </c>
      <c r="J31" s="12" t="str">
        <f>IF(總表!A31="","",總表!H31)</f>
        <v>現役</v>
      </c>
      <c r="K31" s="12" t="str">
        <f>IF(總表!P31="","",總表!P31)</f>
        <v/>
      </c>
      <c r="L31" s="12" t="str">
        <f>IF(總表!Q31="","",總表!Q31)</f>
        <v/>
      </c>
      <c r="M31" s="12" t="str">
        <f t="shared" si="2"/>
        <v/>
      </c>
      <c r="N31" s="12" t="str">
        <f t="shared" si="3"/>
        <v/>
      </c>
      <c r="O31" s="12" t="str">
        <f>IF($N31=1,SUM($N$2:N31),"")</f>
        <v/>
      </c>
    </row>
    <row r="32" spans="1:15">
      <c r="A32" s="12" t="str">
        <f>IF(總表!A32="","",總表!A32)</f>
        <v>張峻瑋</v>
      </c>
      <c r="B32" s="12" t="s">
        <v>134</v>
      </c>
      <c r="C32" s="12" t="str">
        <f>IF(總表!A32="","",總表!F32)</f>
        <v>福岡軟銀鷹</v>
      </c>
      <c r="D32" s="12" t="str">
        <f t="shared" si="0"/>
        <v/>
      </c>
      <c r="E32" s="12">
        <v>9</v>
      </c>
      <c r="F32" s="12">
        <f>IF(總表!A32="","",總表!K32)</f>
        <v>9</v>
      </c>
      <c r="G32" s="12" t="str">
        <f t="shared" si="1"/>
        <v/>
      </c>
      <c r="H32" s="12" t="str">
        <f>IF($G32="升級","▲ "&amp;總表!G32,IF($G32="下放","▼ "&amp;總表!G32,""))</f>
        <v/>
      </c>
      <c r="I32" s="12" t="s">
        <v>107</v>
      </c>
      <c r="J32" s="12" t="str">
        <f>IF(總表!A32="","",總表!H32)</f>
        <v>現役</v>
      </c>
      <c r="K32" s="12" t="str">
        <f>IF(總表!P32="","",總表!P32)</f>
        <v/>
      </c>
      <c r="L32" s="12" t="str">
        <f>IF(總表!Q32="","",總表!Q32)</f>
        <v/>
      </c>
      <c r="M32" s="12" t="str">
        <f t="shared" si="2"/>
        <v/>
      </c>
      <c r="N32" s="12" t="str">
        <f t="shared" si="3"/>
        <v/>
      </c>
      <c r="O32" s="12" t="str">
        <f>IF($N32=1,SUM($N$2:N32),"")</f>
        <v/>
      </c>
    </row>
    <row r="33" spans="1:15">
      <c r="A33" s="12" t="str">
        <f>IF(總表!A33="","",總表!A33)</f>
        <v>陳睦衡</v>
      </c>
      <c r="B33" s="12" t="s">
        <v>136</v>
      </c>
      <c r="C33" s="12" t="str">
        <f>IF(總表!A33="","",總表!F33)</f>
        <v>歐力士猛牛</v>
      </c>
      <c r="D33" s="12" t="str">
        <f t="shared" si="0"/>
        <v/>
      </c>
      <c r="E33" s="12">
        <v>9</v>
      </c>
      <c r="F33" s="12">
        <f>IF(總表!A33="","",總表!K33)</f>
        <v>9</v>
      </c>
      <c r="G33" s="12" t="str">
        <f t="shared" si="1"/>
        <v/>
      </c>
      <c r="H33" s="12" t="str">
        <f>IF($G33="升級","▲ "&amp;總表!G33,IF($G33="下放","▼ "&amp;總表!G33,""))</f>
        <v/>
      </c>
      <c r="I33" s="12" t="s">
        <v>107</v>
      </c>
      <c r="J33" s="12" t="str">
        <f>IF(總表!A33="","",總表!H33)</f>
        <v>現役</v>
      </c>
      <c r="K33" s="12" t="str">
        <f>IF(總表!P33="","",總表!P33)</f>
        <v/>
      </c>
      <c r="L33" s="12" t="str">
        <f>IF(總表!Q33="","",總表!Q33)</f>
        <v/>
      </c>
      <c r="M33" s="12" t="str">
        <f t="shared" si="2"/>
        <v/>
      </c>
      <c r="N33" s="12" t="str">
        <f t="shared" si="3"/>
        <v/>
      </c>
      <c r="O33" s="12" t="str">
        <f>IF($N33=1,SUM($N$2:N33),"")</f>
        <v/>
      </c>
    </row>
    <row r="34" spans="1:15">
      <c r="A34" s="12" t="str">
        <f>IF(總表!A34="","",總表!A34)</f>
        <v>陽柏翔</v>
      </c>
      <c r="B34" s="12" t="s">
        <v>130</v>
      </c>
      <c r="C34" s="12" t="str">
        <f>IF(總表!A34="","",總表!F34)</f>
        <v>東北樂天金鷲</v>
      </c>
      <c r="D34" s="12" t="str">
        <f t="shared" si="0"/>
        <v/>
      </c>
      <c r="E34" s="12">
        <v>9</v>
      </c>
      <c r="F34" s="12">
        <f>IF(總表!A34="","",總表!K34)</f>
        <v>9</v>
      </c>
      <c r="G34" s="12" t="str">
        <f t="shared" si="1"/>
        <v/>
      </c>
      <c r="H34" s="12" t="str">
        <f>IF($G34="升級","▲ "&amp;總表!G34,IF($G34="下放","▼ "&amp;總表!G34,""))</f>
        <v/>
      </c>
      <c r="I34" s="12" t="s">
        <v>107</v>
      </c>
      <c r="J34" s="12" t="str">
        <f>IF(總表!A34="","",總表!H34)</f>
        <v>現役</v>
      </c>
      <c r="K34" s="12" t="str">
        <f>IF(總表!P34="","",總表!P34)</f>
        <v/>
      </c>
      <c r="L34" s="12" t="str">
        <f>IF(總表!Q34="","",總表!Q34)</f>
        <v/>
      </c>
      <c r="M34" s="12" t="str">
        <f t="shared" si="2"/>
        <v/>
      </c>
      <c r="N34" s="12" t="str">
        <f t="shared" si="3"/>
        <v/>
      </c>
      <c r="O34" s="12" t="str">
        <f>IF($N34=1,SUM($N$2:N34),"")</f>
        <v/>
      </c>
    </row>
    <row r="35" spans="1:15">
      <c r="A35" s="12" t="str">
        <f>IF(總表!A35="","",總表!A35)</f>
        <v>黃錦豪</v>
      </c>
      <c r="B35" s="12" t="s">
        <v>137</v>
      </c>
      <c r="C35" s="12" t="str">
        <f>IF(總表!A35="","",總表!F35)</f>
        <v>讀賣巨人</v>
      </c>
      <c r="D35" s="12" t="str">
        <f t="shared" si="0"/>
        <v/>
      </c>
      <c r="E35" s="12">
        <v>9</v>
      </c>
      <c r="F35" s="12">
        <f>IF(總表!A35="","",總表!K35)</f>
        <v>9</v>
      </c>
      <c r="G35" s="12" t="str">
        <f t="shared" si="1"/>
        <v/>
      </c>
      <c r="H35" s="12" t="str">
        <f>IF($G35="升級","▲ "&amp;總表!G35,IF($G35="下放","▼ "&amp;總表!G35,""))</f>
        <v/>
      </c>
      <c r="I35" s="12" t="s">
        <v>107</v>
      </c>
      <c r="J35" s="12" t="str">
        <f>IF(總表!A35="","",總表!H35)</f>
        <v>現役</v>
      </c>
      <c r="K35" s="12" t="str">
        <f>IF(總表!P35="","",總表!P35)</f>
        <v/>
      </c>
      <c r="L35" s="12" t="str">
        <f>IF(總表!Q35="","",總表!Q35)</f>
        <v/>
      </c>
      <c r="M35" s="12" t="str">
        <f t="shared" si="2"/>
        <v/>
      </c>
      <c r="N35" s="12" t="str">
        <f t="shared" si="3"/>
        <v/>
      </c>
      <c r="O35" s="12" t="str">
        <f>IF($N35=1,SUM($N$2:N35),"")</f>
        <v/>
      </c>
    </row>
    <row r="36" spans="1:15">
      <c r="A36" s="12" t="str">
        <f>IF(總表!A36="","",總表!A36)</f>
        <v>蕭齊</v>
      </c>
      <c r="B36" s="12" t="s">
        <v>130</v>
      </c>
      <c r="C36" s="12" t="str">
        <f>IF(總表!A36="","",總表!F36)</f>
        <v>東北樂天金鷲</v>
      </c>
      <c r="D36" s="12" t="str">
        <f t="shared" si="0"/>
        <v/>
      </c>
      <c r="E36" s="12">
        <v>9</v>
      </c>
      <c r="F36" s="12">
        <f>IF(總表!A36="","",總表!K36)</f>
        <v>9</v>
      </c>
      <c r="G36" s="12" t="str">
        <f t="shared" si="1"/>
        <v/>
      </c>
      <c r="H36" s="12" t="str">
        <f>IF($G36="升級","▲ "&amp;總表!G36,IF($G36="下放","▼ "&amp;總表!G36,""))</f>
        <v/>
      </c>
      <c r="I36" s="12" t="s">
        <v>107</v>
      </c>
      <c r="J36" s="12" t="str">
        <f>IF(總表!A36="","",總表!H36)</f>
        <v>現役</v>
      </c>
      <c r="K36" s="12" t="str">
        <f>IF(總表!P36="","",總表!P36)</f>
        <v/>
      </c>
      <c r="L36" s="12" t="str">
        <f>IF(總表!Q36="","",總表!Q36)</f>
        <v/>
      </c>
      <c r="M36" s="12" t="str">
        <f t="shared" si="2"/>
        <v/>
      </c>
      <c r="N36" s="12" t="str">
        <f t="shared" si="3"/>
        <v/>
      </c>
      <c r="O36" s="12" t="str">
        <f>IF($N36=1,SUM($N$2:N36),"")</f>
        <v/>
      </c>
    </row>
    <row r="37" spans="1:15">
      <c r="A37" s="12" t="str">
        <f>IF(總表!A37="","",總表!A37)</f>
        <v>王彥程</v>
      </c>
      <c r="B37" s="12" t="s">
        <v>141</v>
      </c>
      <c r="C37" s="12" t="str">
        <f>IF(總表!A37="","",總表!F37)</f>
        <v>韓華鷹</v>
      </c>
      <c r="D37" s="12" t="str">
        <f t="shared" si="0"/>
        <v/>
      </c>
      <c r="E37" s="12">
        <v>3</v>
      </c>
      <c r="F37" s="12">
        <f>IF(總表!A37="","",總表!K37)</f>
        <v>3</v>
      </c>
      <c r="G37" s="12" t="str">
        <f t="shared" si="1"/>
        <v/>
      </c>
      <c r="H37" s="12" t="str">
        <f>IF($G37="升級","▲ "&amp;總表!G37,IF($G37="下放","▼ "&amp;總表!G37,""))</f>
        <v/>
      </c>
      <c r="I37" s="12" t="s">
        <v>107</v>
      </c>
      <c r="J37" s="12" t="str">
        <f>IF(總表!A37="","",總表!H37)</f>
        <v>現役</v>
      </c>
      <c r="K37" s="12" t="str">
        <f>IF(總表!P37="","",總表!P37)</f>
        <v/>
      </c>
      <c r="L37" s="12" t="str">
        <f>IF(總表!Q37="","",總表!Q37)</f>
        <v/>
      </c>
      <c r="M37" s="12" t="str">
        <f t="shared" si="2"/>
        <v/>
      </c>
      <c r="N37" s="12" t="str">
        <f t="shared" si="3"/>
        <v/>
      </c>
      <c r="O37" s="12" t="str">
        <f>IF($N37=1,SUM($N$2:N37),"")</f>
        <v/>
      </c>
    </row>
    <row r="38" spans="1:15">
      <c r="A38" s="12" t="str">
        <f>IF(總表!A38="","",總表!A38)</f>
        <v>Corbin Carroll</v>
      </c>
      <c r="B38" s="12" t="s">
        <v>144</v>
      </c>
      <c r="C38" s="12" t="str">
        <f>IF(總表!A38="","",總表!F38)</f>
        <v>亞歷桑納響尾蛇</v>
      </c>
      <c r="D38" s="12" t="str">
        <f t="shared" si="0"/>
        <v/>
      </c>
      <c r="E38" s="12">
        <v>1</v>
      </c>
      <c r="F38" s="12">
        <f>IF(總表!A38="","",總表!K38)</f>
        <v>1</v>
      </c>
      <c r="G38" s="12" t="str">
        <f t="shared" si="1"/>
        <v/>
      </c>
      <c r="H38" s="12" t="str">
        <f>IF($G38="升級","▲ "&amp;總表!G38,IF($G38="下放","▼ "&amp;總表!G38,""))</f>
        <v/>
      </c>
      <c r="I38" s="12" t="s">
        <v>107</v>
      </c>
      <c r="J38" s="12" t="str">
        <f>IF(總表!A38="","",總表!H38)</f>
        <v>現役</v>
      </c>
      <c r="K38" s="12" t="str">
        <f>IF(總表!P38="","",總表!P38)</f>
        <v/>
      </c>
      <c r="L38" s="12" t="str">
        <f>IF(總表!Q38="","",總表!Q38)</f>
        <v/>
      </c>
      <c r="M38" s="12" t="str">
        <f t="shared" si="2"/>
        <v/>
      </c>
      <c r="N38" s="12" t="str">
        <f t="shared" si="3"/>
        <v/>
      </c>
      <c r="O38" s="12" t="str">
        <f>IF($N38=1,SUM($N$2:N38),"")</f>
        <v/>
      </c>
    </row>
    <row r="39" spans="1:15">
      <c r="A39" s="12" t="str">
        <f>IF(總表!A39="","",總表!A39)</f>
        <v>Jonathon Long</v>
      </c>
      <c r="B39" s="12" t="s">
        <v>145</v>
      </c>
      <c r="C39" s="12" t="str">
        <f>IF(總表!A39="","",總表!F39)</f>
        <v>芝加哥小熊</v>
      </c>
      <c r="D39" s="12" t="str">
        <f t="shared" si="0"/>
        <v/>
      </c>
      <c r="E39" s="12">
        <v>4</v>
      </c>
      <c r="F39" s="12">
        <f>IF(總表!A39="","",總表!K39)</f>
        <v>4</v>
      </c>
      <c r="G39" s="12" t="str">
        <f t="shared" si="1"/>
        <v/>
      </c>
      <c r="H39" s="12" t="str">
        <f>IF($G39="升級","▲ "&amp;總表!G39,IF($G39="下放","▼ "&amp;總表!G39,""))</f>
        <v/>
      </c>
      <c r="I39" s="12" t="s">
        <v>107</v>
      </c>
      <c r="J39" s="12" t="str">
        <f>IF(總表!A39="","",總表!H39)</f>
        <v>現役</v>
      </c>
      <c r="K39" s="12" t="str">
        <f>IF(總表!P39="","",總表!P39)</f>
        <v/>
      </c>
      <c r="L39" s="12" t="str">
        <f>IF(總表!Q39="","",總表!Q39)</f>
        <v/>
      </c>
      <c r="M39" s="12" t="str">
        <f t="shared" si="2"/>
        <v/>
      </c>
      <c r="N39" s="12" t="str">
        <f t="shared" si="3"/>
        <v/>
      </c>
      <c r="O39" s="12" t="str">
        <f>IF($N39=1,SUM($N$2:N39),"")</f>
        <v/>
      </c>
    </row>
    <row r="40" spans="1:15">
      <c r="A40" s="12" t="str">
        <f>IF(總表!A40="","",總表!A40)</f>
        <v>Stuart Fairchild</v>
      </c>
      <c r="B40" s="12" t="s">
        <v>146</v>
      </c>
      <c r="C40" s="12" t="str">
        <f>IF(總表!A40="","",總表!F40)</f>
        <v>克里夫蘭守護者</v>
      </c>
      <c r="D40" s="12" t="str">
        <f t="shared" si="0"/>
        <v/>
      </c>
      <c r="E40" s="12">
        <v>4</v>
      </c>
      <c r="F40" s="12">
        <f>IF(總表!A40="","",總表!K40)</f>
        <v>4</v>
      </c>
      <c r="G40" s="12" t="str">
        <f t="shared" si="1"/>
        <v/>
      </c>
      <c r="H40" s="12" t="str">
        <f>IF($G40="升級","▲ "&amp;總表!G40,IF($G40="下放","▼ "&amp;總表!G40,""))</f>
        <v/>
      </c>
      <c r="I40" s="12" t="s">
        <v>107</v>
      </c>
      <c r="J40" s="12" t="str">
        <f>IF(總表!A40="","",總表!H40)</f>
        <v>現役</v>
      </c>
      <c r="K40" s="12" t="str">
        <f>IF(總表!P40="","",總表!P40)</f>
        <v/>
      </c>
      <c r="L40" s="12" t="str">
        <f>IF(總表!Q40="","",總表!Q40)</f>
        <v/>
      </c>
      <c r="M40" s="12" t="str">
        <f t="shared" si="2"/>
        <v/>
      </c>
      <c r="N40" s="12" t="str">
        <f t="shared" si="3"/>
        <v/>
      </c>
      <c r="O40" s="12" t="str">
        <f>IF($N40=1,SUM($N$2:N40),"")</f>
        <v/>
      </c>
    </row>
    <row r="41" spans="1:15">
      <c r="A41" s="12" t="str">
        <f>IF(總表!A41="","",總表!A41)</f>
        <v>Tyler Wilson</v>
      </c>
      <c r="B41" s="12" t="s">
        <v>147</v>
      </c>
      <c r="C41" s="12" t="str">
        <f>IF(總表!A41="","",總表!F41)</f>
        <v>紐約洋基</v>
      </c>
      <c r="D41" s="12" t="str">
        <f t="shared" si="0"/>
        <v/>
      </c>
      <c r="E41" s="12">
        <v>6</v>
      </c>
      <c r="F41" s="12">
        <f>IF(總表!A41="","",總表!K41)</f>
        <v>6</v>
      </c>
      <c r="G41" s="12" t="str">
        <f t="shared" si="1"/>
        <v/>
      </c>
      <c r="H41" s="12" t="str">
        <f>IF($G41="升級","▲ "&amp;總表!G41,IF($G41="下放","▼ "&amp;總表!G41,""))</f>
        <v/>
      </c>
      <c r="I41" s="12" t="s">
        <v>107</v>
      </c>
      <c r="J41" s="12" t="str">
        <f>IF(總表!A41="","",總表!H41)</f>
        <v>現役</v>
      </c>
      <c r="K41" s="12" t="str">
        <f>IF(總表!P41="","",總表!P41)</f>
        <v/>
      </c>
      <c r="L41" s="12" t="str">
        <f>IF(總表!Q41="","",總表!Q41)</f>
        <v/>
      </c>
      <c r="M41" s="12" t="str">
        <f t="shared" si="2"/>
        <v/>
      </c>
      <c r="N41" s="12" t="str">
        <f t="shared" si="3"/>
        <v/>
      </c>
      <c r="O41" s="12" t="str">
        <f>IF($N41=1,SUM($N$2:N41),"")</f>
        <v/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首頁</vt:lpstr>
      <vt:lpstr>今日戰報</vt:lpstr>
      <vt:lpstr>總表</vt:lpstr>
      <vt:lpstr>打者數據</vt:lpstr>
      <vt:lpstr>投手數據</vt:lpstr>
      <vt:lpstr>日韓職球員數據</vt:lpstr>
      <vt:lpstr>異動資料源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嘉期 郭</cp:lastModifiedBy>
  <dcterms:created xsi:type="dcterms:W3CDTF">2026-04-25T03:01:27Z</dcterms:created>
  <dcterms:modified xsi:type="dcterms:W3CDTF">2026-04-25T03:01:27Z</dcterms:modified>
</cp:coreProperties>
</file>