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YYDS\新YYDS\yyds-baseball\data\"/>
    </mc:Choice>
  </mc:AlternateContent>
  <xr:revisionPtr revIDLastSave="0" documentId="8_{07BC80B0-E78F-4B22-93E0-A223DF1C51D6}" xr6:coauthVersionLast="47" xr6:coauthVersionMax="47" xr10:uidLastSave="{00000000-0000-0000-0000-000000000000}"/>
  <bookViews>
    <workbookView xWindow="1605" yWindow="4005" windowWidth="21600" windowHeight="11295" xr2:uid="{00000000-000D-0000-FFFF-FFFF00000000}"/>
  </bookViews>
  <sheets>
    <sheet name="首頁" sheetId="1" r:id="rId1"/>
    <sheet name="今日戰報" sheetId="2" r:id="rId2"/>
    <sheet name="總表" sheetId="3" r:id="rId3"/>
    <sheet name="打者數據" sheetId="4" r:id="rId4"/>
    <sheet name="投手數據" sheetId="5" r:id="rId5"/>
    <sheet name="日韓職球員數據" sheetId="6" r:id="rId6"/>
    <sheet name="異動資料源" sheetId="7" r:id="rId7"/>
    <sheet name="資料字典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7" l="1"/>
  <c r="D41" i="7"/>
  <c r="M41" i="7" s="1"/>
  <c r="G40" i="7"/>
  <c r="N40" i="7" s="1"/>
  <c r="D40" i="7"/>
  <c r="M40" i="7" s="1"/>
  <c r="G39" i="7"/>
  <c r="D39" i="7"/>
  <c r="M39" i="7" s="1"/>
  <c r="G38" i="7"/>
  <c r="D38" i="7"/>
  <c r="M38" i="7" s="1"/>
  <c r="G37" i="7"/>
  <c r="N37" i="7" s="1"/>
  <c r="D37" i="7"/>
  <c r="M37" i="7" s="1"/>
  <c r="G36" i="7"/>
  <c r="D36" i="7"/>
  <c r="M36" i="7" s="1"/>
  <c r="G35" i="7"/>
  <c r="D35" i="7"/>
  <c r="M35" i="7" s="1"/>
  <c r="G34" i="7"/>
  <c r="N34" i="7" s="1"/>
  <c r="D34" i="7"/>
  <c r="M34" i="7" s="1"/>
  <c r="G33" i="7"/>
  <c r="D33" i="7"/>
  <c r="M33" i="7" s="1"/>
  <c r="G32" i="7"/>
  <c r="N32" i="7" s="1"/>
  <c r="D32" i="7"/>
  <c r="M32" i="7" s="1"/>
  <c r="G31" i="7"/>
  <c r="D31" i="7"/>
  <c r="M31" i="7" s="1"/>
  <c r="G30" i="7"/>
  <c r="D30" i="7"/>
  <c r="M30" i="7" s="1"/>
  <c r="G29" i="7"/>
  <c r="N29" i="7" s="1"/>
  <c r="D29" i="7"/>
  <c r="M29" i="7" s="1"/>
  <c r="G28" i="7"/>
  <c r="D28" i="7"/>
  <c r="M28" i="7" s="1"/>
  <c r="G27" i="7"/>
  <c r="D27" i="7"/>
  <c r="M27" i="7" s="1"/>
  <c r="G26" i="7"/>
  <c r="N26" i="7" s="1"/>
  <c r="D26" i="7"/>
  <c r="M26" i="7" s="1"/>
  <c r="G25" i="7"/>
  <c r="D25" i="7"/>
  <c r="M25" i="7" s="1"/>
  <c r="G24" i="7"/>
  <c r="N24" i="7" s="1"/>
  <c r="D24" i="7"/>
  <c r="M24" i="7" s="1"/>
  <c r="G23" i="7"/>
  <c r="D23" i="7"/>
  <c r="M23" i="7" s="1"/>
  <c r="G22" i="7"/>
  <c r="D22" i="7"/>
  <c r="M22" i="7" s="1"/>
  <c r="G21" i="7"/>
  <c r="N21" i="7" s="1"/>
  <c r="D21" i="7"/>
  <c r="M21" i="7" s="1"/>
  <c r="G20" i="7"/>
  <c r="D20" i="7"/>
  <c r="M20" i="7" s="1"/>
  <c r="G19" i="7"/>
  <c r="D19" i="7"/>
  <c r="M19" i="7" s="1"/>
  <c r="G18" i="7"/>
  <c r="N18" i="7" s="1"/>
  <c r="D18" i="7"/>
  <c r="M18" i="7" s="1"/>
  <c r="G17" i="7"/>
  <c r="D17" i="7"/>
  <c r="M17" i="7" s="1"/>
  <c r="G16" i="7"/>
  <c r="N16" i="7" s="1"/>
  <c r="D16" i="7"/>
  <c r="M16" i="7" s="1"/>
  <c r="G15" i="7"/>
  <c r="D15" i="7"/>
  <c r="M15" i="7" s="1"/>
  <c r="G14" i="7"/>
  <c r="D14" i="7"/>
  <c r="M14" i="7" s="1"/>
  <c r="G13" i="7"/>
  <c r="N13" i="7" s="1"/>
  <c r="D13" i="7"/>
  <c r="M13" i="7" s="1"/>
  <c r="G12" i="7"/>
  <c r="D12" i="7"/>
  <c r="M12" i="7" s="1"/>
  <c r="G11" i="7"/>
  <c r="D11" i="7"/>
  <c r="M11" i="7" s="1"/>
  <c r="G10" i="7"/>
  <c r="N10" i="7" s="1"/>
  <c r="D10" i="7"/>
  <c r="M10" i="7" s="1"/>
  <c r="G9" i="7"/>
  <c r="D9" i="7"/>
  <c r="M9" i="7" s="1"/>
  <c r="G8" i="7"/>
  <c r="N8" i="7" s="1"/>
  <c r="D8" i="7"/>
  <c r="M8" i="7" s="1"/>
  <c r="G7" i="7"/>
  <c r="D7" i="7"/>
  <c r="M7" i="7" s="1"/>
  <c r="G6" i="7"/>
  <c r="D6" i="7"/>
  <c r="M6" i="7" s="1"/>
  <c r="G5" i="7"/>
  <c r="N5" i="7" s="1"/>
  <c r="D5" i="7"/>
  <c r="M5" i="7" s="1"/>
  <c r="G4" i="7"/>
  <c r="D4" i="7"/>
  <c r="M4" i="7" s="1"/>
  <c r="G3" i="7"/>
  <c r="D3" i="7"/>
  <c r="M3" i="7" s="1"/>
  <c r="G2" i="7"/>
  <c r="N2" i="7" s="1"/>
  <c r="D2" i="7"/>
  <c r="V41" i="3"/>
  <c r="S41" i="3"/>
  <c r="O41" i="3"/>
  <c r="M41" i="3"/>
  <c r="L41" i="3" a="1"/>
  <c r="L41" i="3" s="1"/>
  <c r="K41" i="3"/>
  <c r="V40" i="3"/>
  <c r="S40" i="3"/>
  <c r="O40" i="3"/>
  <c r="M40" i="3"/>
  <c r="L40" i="3" a="1"/>
  <c r="L40" i="3" s="1"/>
  <c r="K40" i="3"/>
  <c r="V39" i="3"/>
  <c r="S39" i="3"/>
  <c r="O39" i="3"/>
  <c r="M39" i="3"/>
  <c r="L39" i="3" a="1"/>
  <c r="L39" i="3" s="1"/>
  <c r="K39" i="3"/>
  <c r="V38" i="3"/>
  <c r="S38" i="3"/>
  <c r="O38" i="3"/>
  <c r="M38" i="3"/>
  <c r="L38" i="3" a="1"/>
  <c r="L38" i="3" s="1"/>
  <c r="K38" i="3"/>
  <c r="V37" i="3"/>
  <c r="S37" i="3"/>
  <c r="O37" i="3"/>
  <c r="M37" i="3"/>
  <c r="L37" i="3" a="1"/>
  <c r="L37" i="3" s="1"/>
  <c r="K37" i="3"/>
  <c r="V36" i="3"/>
  <c r="S36" i="3"/>
  <c r="O36" i="3"/>
  <c r="M36" i="3"/>
  <c r="L36" i="3" a="1"/>
  <c r="L36" i="3" s="1"/>
  <c r="K36" i="3"/>
  <c r="V35" i="3"/>
  <c r="S35" i="3"/>
  <c r="O35" i="3"/>
  <c r="M35" i="3"/>
  <c r="L35" i="3" a="1"/>
  <c r="L35" i="3" s="1"/>
  <c r="K35" i="3"/>
  <c r="V34" i="3"/>
  <c r="S34" i="3"/>
  <c r="O34" i="3"/>
  <c r="M34" i="3"/>
  <c r="L34" i="3" a="1"/>
  <c r="L34" i="3" s="1"/>
  <c r="K34" i="3"/>
  <c r="V33" i="3"/>
  <c r="S33" i="3"/>
  <c r="O33" i="3"/>
  <c r="M33" i="3"/>
  <c r="L33" i="3" a="1"/>
  <c r="L33" i="3" s="1"/>
  <c r="K33" i="3"/>
  <c r="V32" i="3"/>
  <c r="S32" i="3"/>
  <c r="O32" i="3"/>
  <c r="M32" i="3"/>
  <c r="L32" i="3" a="1"/>
  <c r="L32" i="3"/>
  <c r="K32" i="3"/>
  <c r="V31" i="3"/>
  <c r="S31" i="3"/>
  <c r="O31" i="3"/>
  <c r="M31" i="3"/>
  <c r="L31" i="3" a="1"/>
  <c r="L31" i="3" s="1"/>
  <c r="K31" i="3"/>
  <c r="V30" i="3"/>
  <c r="S30" i="3"/>
  <c r="O30" i="3"/>
  <c r="M30" i="3"/>
  <c r="L30" i="3" a="1"/>
  <c r="L30" i="3" s="1"/>
  <c r="K30" i="3"/>
  <c r="V29" i="3"/>
  <c r="S29" i="3"/>
  <c r="O29" i="3"/>
  <c r="M29" i="3"/>
  <c r="L29" i="3" a="1"/>
  <c r="L29" i="3"/>
  <c r="K29" i="3"/>
  <c r="V28" i="3"/>
  <c r="S28" i="3"/>
  <c r="O28" i="3"/>
  <c r="M28" i="3"/>
  <c r="L28" i="3" a="1"/>
  <c r="L28" i="3"/>
  <c r="K28" i="3"/>
  <c r="V27" i="3"/>
  <c r="S27" i="3"/>
  <c r="O27" i="3"/>
  <c r="M27" i="3"/>
  <c r="L27" i="3" a="1"/>
  <c r="L27" i="3"/>
  <c r="K27" i="3"/>
  <c r="V26" i="3"/>
  <c r="S26" i="3"/>
  <c r="O26" i="3"/>
  <c r="M26" i="3"/>
  <c r="L26" i="3" a="1"/>
  <c r="L26" i="3"/>
  <c r="K26" i="3"/>
  <c r="V25" i="3"/>
  <c r="S25" i="3"/>
  <c r="O25" i="3"/>
  <c r="M25" i="3"/>
  <c r="L25" i="3" a="1"/>
  <c r="L25" i="3" s="1"/>
  <c r="K25" i="3"/>
  <c r="V24" i="3"/>
  <c r="S24" i="3"/>
  <c r="O24" i="3"/>
  <c r="M24" i="3"/>
  <c r="L24" i="3" a="1"/>
  <c r="L24" i="3" s="1"/>
  <c r="K24" i="3"/>
  <c r="V23" i="3"/>
  <c r="S23" i="3"/>
  <c r="O23" i="3"/>
  <c r="M23" i="3"/>
  <c r="L23" i="3" a="1"/>
  <c r="L23" i="3" s="1"/>
  <c r="K23" i="3"/>
  <c r="V22" i="3"/>
  <c r="S22" i="3"/>
  <c r="O22" i="3"/>
  <c r="M22" i="3"/>
  <c r="L22" i="3" a="1"/>
  <c r="L22" i="3"/>
  <c r="K22" i="3"/>
  <c r="V21" i="3"/>
  <c r="S21" i="3"/>
  <c r="O21" i="3"/>
  <c r="M21" i="3"/>
  <c r="L21" i="3" a="1"/>
  <c r="L21" i="3" s="1"/>
  <c r="K21" i="3"/>
  <c r="V20" i="3"/>
  <c r="S20" i="3"/>
  <c r="O20" i="3"/>
  <c r="M20" i="3"/>
  <c r="L20" i="3" a="1"/>
  <c r="L20" i="3"/>
  <c r="K20" i="3"/>
  <c r="V19" i="3"/>
  <c r="S19" i="3"/>
  <c r="O19" i="3"/>
  <c r="M19" i="3"/>
  <c r="L19" i="3" a="1"/>
  <c r="L19" i="3" s="1"/>
  <c r="K19" i="3"/>
  <c r="V18" i="3"/>
  <c r="S18" i="3"/>
  <c r="O18" i="3"/>
  <c r="M18" i="3"/>
  <c r="L18" i="3" a="1"/>
  <c r="L18" i="3" s="1"/>
  <c r="K18" i="3"/>
  <c r="V17" i="3"/>
  <c r="S17" i="3"/>
  <c r="O17" i="3"/>
  <c r="M17" i="3"/>
  <c r="L17" i="3" a="1"/>
  <c r="L17" i="3" s="1"/>
  <c r="K17" i="3"/>
  <c r="V16" i="3"/>
  <c r="S16" i="3"/>
  <c r="O16" i="3"/>
  <c r="M16" i="3"/>
  <c r="L16" i="3" a="1"/>
  <c r="L16" i="3"/>
  <c r="K16" i="3"/>
  <c r="V15" i="3"/>
  <c r="S15" i="3"/>
  <c r="O15" i="3"/>
  <c r="M15" i="3"/>
  <c r="L15" i="3" a="1"/>
  <c r="L15" i="3" s="1"/>
  <c r="K15" i="3"/>
  <c r="V14" i="3"/>
  <c r="S14" i="3"/>
  <c r="O14" i="3"/>
  <c r="M14" i="3"/>
  <c r="L14" i="3" a="1"/>
  <c r="L14" i="3" s="1"/>
  <c r="K14" i="3"/>
  <c r="V13" i="3"/>
  <c r="S13" i="3"/>
  <c r="O13" i="3"/>
  <c r="M13" i="3"/>
  <c r="L13" i="3" a="1"/>
  <c r="L13" i="3"/>
  <c r="K13" i="3"/>
  <c r="V12" i="3"/>
  <c r="S12" i="3"/>
  <c r="O12" i="3"/>
  <c r="M12" i="3"/>
  <c r="L12" i="3" a="1"/>
  <c r="L12" i="3"/>
  <c r="K12" i="3"/>
  <c r="V11" i="3"/>
  <c r="S11" i="3"/>
  <c r="O11" i="3"/>
  <c r="M11" i="3"/>
  <c r="L11" i="3" a="1"/>
  <c r="L11" i="3" s="1"/>
  <c r="K11" i="3"/>
  <c r="V10" i="3"/>
  <c r="S10" i="3"/>
  <c r="O10" i="3"/>
  <c r="M10" i="3"/>
  <c r="L10" i="3" a="1"/>
  <c r="L10" i="3"/>
  <c r="K10" i="3"/>
  <c r="V9" i="3"/>
  <c r="S9" i="3"/>
  <c r="O9" i="3"/>
  <c r="M9" i="3"/>
  <c r="L9" i="3" a="1"/>
  <c r="L9" i="3" s="1"/>
  <c r="K9" i="3"/>
  <c r="V8" i="3"/>
  <c r="S8" i="3"/>
  <c r="O8" i="3"/>
  <c r="M8" i="3"/>
  <c r="L8" i="3" a="1"/>
  <c r="L8" i="3" s="1"/>
  <c r="K8" i="3"/>
  <c r="V7" i="3"/>
  <c r="S7" i="3"/>
  <c r="O7" i="3"/>
  <c r="M7" i="3"/>
  <c r="L7" i="3" a="1"/>
  <c r="L7" i="3" s="1"/>
  <c r="K7" i="3"/>
  <c r="V6" i="3"/>
  <c r="S6" i="3"/>
  <c r="O6" i="3"/>
  <c r="M6" i="3"/>
  <c r="L6" i="3" a="1"/>
  <c r="L6" i="3"/>
  <c r="K6" i="3"/>
  <c r="V5" i="3"/>
  <c r="S5" i="3"/>
  <c r="O5" i="3"/>
  <c r="M5" i="3"/>
  <c r="L5" i="3" a="1"/>
  <c r="L5" i="3" s="1"/>
  <c r="K5" i="3"/>
  <c r="V4" i="3"/>
  <c r="S4" i="3"/>
  <c r="O4" i="3"/>
  <c r="M4" i="3"/>
  <c r="L4" i="3" a="1"/>
  <c r="L4" i="3"/>
  <c r="K4" i="3"/>
  <c r="V3" i="3"/>
  <c r="S3" i="3"/>
  <c r="O3" i="3"/>
  <c r="M3" i="3"/>
  <c r="L3" i="3" a="1"/>
  <c r="L3" i="3" s="1"/>
  <c r="K3" i="3"/>
  <c r="V2" i="3"/>
  <c r="S2" i="3"/>
  <c r="O2" i="3"/>
  <c r="M2" i="3"/>
  <c r="L2" i="3" a="1"/>
  <c r="L2" i="3"/>
  <c r="K2" i="3"/>
  <c r="L200" i="2"/>
  <c r="J200" i="2"/>
  <c r="I200" i="2"/>
  <c r="L199" i="2"/>
  <c r="J199" i="2"/>
  <c r="I199" i="2"/>
  <c r="L198" i="2"/>
  <c r="J198" i="2"/>
  <c r="I198" i="2"/>
  <c r="L197" i="2"/>
  <c r="J197" i="2"/>
  <c r="I197" i="2"/>
  <c r="L196" i="2"/>
  <c r="J196" i="2"/>
  <c r="I196" i="2"/>
  <c r="L195" i="2"/>
  <c r="J195" i="2"/>
  <c r="I195" i="2"/>
  <c r="L194" i="2"/>
  <c r="J194" i="2"/>
  <c r="I194" i="2"/>
  <c r="L193" i="2"/>
  <c r="J193" i="2"/>
  <c r="I193" i="2"/>
  <c r="L192" i="2"/>
  <c r="J192" i="2"/>
  <c r="I192" i="2"/>
  <c r="L191" i="2"/>
  <c r="J191" i="2"/>
  <c r="I191" i="2"/>
  <c r="L190" i="2"/>
  <c r="J190" i="2"/>
  <c r="I190" i="2"/>
  <c r="L189" i="2"/>
  <c r="J189" i="2"/>
  <c r="I189" i="2"/>
  <c r="L188" i="2"/>
  <c r="J188" i="2"/>
  <c r="I188" i="2"/>
  <c r="L187" i="2"/>
  <c r="J187" i="2"/>
  <c r="I187" i="2"/>
  <c r="L186" i="2"/>
  <c r="J186" i="2"/>
  <c r="I186" i="2"/>
  <c r="L185" i="2"/>
  <c r="J185" i="2"/>
  <c r="I185" i="2"/>
  <c r="L184" i="2"/>
  <c r="J184" i="2"/>
  <c r="I184" i="2"/>
  <c r="L183" i="2"/>
  <c r="J183" i="2"/>
  <c r="I183" i="2"/>
  <c r="L182" i="2"/>
  <c r="J182" i="2"/>
  <c r="I182" i="2"/>
  <c r="L181" i="2"/>
  <c r="J181" i="2"/>
  <c r="I181" i="2"/>
  <c r="L180" i="2"/>
  <c r="J180" i="2"/>
  <c r="I180" i="2"/>
  <c r="L179" i="2"/>
  <c r="J179" i="2"/>
  <c r="I179" i="2"/>
  <c r="L178" i="2"/>
  <c r="J178" i="2"/>
  <c r="I178" i="2"/>
  <c r="L177" i="2"/>
  <c r="J177" i="2"/>
  <c r="I177" i="2"/>
  <c r="L176" i="2"/>
  <c r="J176" i="2"/>
  <c r="I176" i="2"/>
  <c r="L175" i="2"/>
  <c r="J175" i="2"/>
  <c r="I175" i="2"/>
  <c r="L174" i="2"/>
  <c r="J174" i="2"/>
  <c r="I174" i="2"/>
  <c r="L173" i="2"/>
  <c r="J173" i="2"/>
  <c r="I173" i="2"/>
  <c r="L172" i="2"/>
  <c r="J172" i="2"/>
  <c r="I172" i="2"/>
  <c r="L171" i="2"/>
  <c r="J171" i="2"/>
  <c r="I171" i="2"/>
  <c r="L170" i="2"/>
  <c r="J170" i="2"/>
  <c r="I170" i="2"/>
  <c r="L169" i="2"/>
  <c r="J169" i="2"/>
  <c r="I169" i="2"/>
  <c r="L168" i="2"/>
  <c r="J168" i="2"/>
  <c r="I168" i="2"/>
  <c r="L167" i="2"/>
  <c r="J167" i="2"/>
  <c r="I167" i="2"/>
  <c r="L166" i="2"/>
  <c r="J166" i="2"/>
  <c r="I166" i="2"/>
  <c r="L165" i="2"/>
  <c r="J165" i="2"/>
  <c r="I165" i="2"/>
  <c r="L164" i="2"/>
  <c r="J164" i="2"/>
  <c r="I164" i="2"/>
  <c r="L163" i="2"/>
  <c r="J163" i="2"/>
  <c r="I163" i="2"/>
  <c r="L162" i="2"/>
  <c r="J162" i="2"/>
  <c r="I162" i="2"/>
  <c r="L161" i="2"/>
  <c r="J161" i="2"/>
  <c r="I161" i="2"/>
  <c r="L160" i="2"/>
  <c r="J160" i="2"/>
  <c r="I160" i="2"/>
  <c r="L159" i="2"/>
  <c r="J159" i="2"/>
  <c r="I159" i="2"/>
  <c r="L158" i="2"/>
  <c r="J158" i="2"/>
  <c r="I158" i="2"/>
  <c r="L157" i="2"/>
  <c r="J157" i="2"/>
  <c r="I157" i="2"/>
  <c r="L156" i="2"/>
  <c r="J156" i="2"/>
  <c r="I156" i="2"/>
  <c r="L155" i="2"/>
  <c r="J155" i="2"/>
  <c r="I155" i="2"/>
  <c r="L154" i="2"/>
  <c r="J154" i="2"/>
  <c r="I154" i="2"/>
  <c r="L153" i="2"/>
  <c r="J153" i="2"/>
  <c r="I153" i="2"/>
  <c r="L152" i="2"/>
  <c r="J152" i="2"/>
  <c r="I152" i="2"/>
  <c r="L151" i="2"/>
  <c r="J151" i="2"/>
  <c r="I151" i="2"/>
  <c r="L150" i="2"/>
  <c r="J150" i="2"/>
  <c r="I150" i="2"/>
  <c r="L149" i="2"/>
  <c r="J149" i="2"/>
  <c r="I149" i="2"/>
  <c r="L148" i="2"/>
  <c r="J148" i="2"/>
  <c r="I148" i="2"/>
  <c r="L147" i="2"/>
  <c r="J147" i="2"/>
  <c r="I147" i="2"/>
  <c r="L146" i="2"/>
  <c r="J146" i="2"/>
  <c r="I146" i="2"/>
  <c r="L145" i="2"/>
  <c r="J145" i="2"/>
  <c r="I145" i="2"/>
  <c r="L144" i="2"/>
  <c r="J144" i="2"/>
  <c r="I144" i="2"/>
  <c r="L143" i="2"/>
  <c r="J143" i="2"/>
  <c r="I143" i="2"/>
  <c r="L142" i="2"/>
  <c r="J142" i="2"/>
  <c r="I142" i="2"/>
  <c r="L141" i="2"/>
  <c r="J141" i="2"/>
  <c r="I141" i="2"/>
  <c r="L140" i="2"/>
  <c r="J140" i="2"/>
  <c r="I140" i="2"/>
  <c r="L139" i="2"/>
  <c r="J139" i="2"/>
  <c r="I139" i="2"/>
  <c r="L138" i="2"/>
  <c r="J138" i="2"/>
  <c r="I138" i="2"/>
  <c r="L137" i="2"/>
  <c r="J137" i="2"/>
  <c r="I137" i="2"/>
  <c r="L136" i="2"/>
  <c r="J136" i="2"/>
  <c r="I136" i="2"/>
  <c r="L135" i="2"/>
  <c r="J135" i="2"/>
  <c r="I135" i="2"/>
  <c r="L134" i="2"/>
  <c r="J134" i="2"/>
  <c r="I134" i="2"/>
  <c r="L133" i="2"/>
  <c r="J133" i="2"/>
  <c r="I133" i="2"/>
  <c r="L132" i="2"/>
  <c r="J132" i="2"/>
  <c r="I132" i="2"/>
  <c r="L131" i="2"/>
  <c r="J131" i="2"/>
  <c r="I131" i="2"/>
  <c r="L130" i="2"/>
  <c r="J130" i="2"/>
  <c r="I130" i="2"/>
  <c r="L129" i="2"/>
  <c r="J129" i="2"/>
  <c r="I129" i="2"/>
  <c r="L128" i="2"/>
  <c r="J128" i="2"/>
  <c r="I128" i="2"/>
  <c r="L127" i="2"/>
  <c r="J127" i="2"/>
  <c r="I127" i="2"/>
  <c r="L126" i="2"/>
  <c r="J126" i="2"/>
  <c r="I126" i="2"/>
  <c r="L125" i="2"/>
  <c r="J125" i="2"/>
  <c r="I125" i="2"/>
  <c r="L124" i="2"/>
  <c r="J124" i="2"/>
  <c r="I124" i="2"/>
  <c r="L123" i="2"/>
  <c r="J123" i="2"/>
  <c r="I123" i="2"/>
  <c r="L122" i="2"/>
  <c r="J122" i="2"/>
  <c r="I122" i="2"/>
  <c r="L121" i="2"/>
  <c r="J121" i="2"/>
  <c r="I121" i="2"/>
  <c r="L120" i="2"/>
  <c r="J120" i="2"/>
  <c r="I120" i="2"/>
  <c r="L119" i="2"/>
  <c r="J119" i="2"/>
  <c r="I119" i="2"/>
  <c r="L118" i="2"/>
  <c r="J118" i="2"/>
  <c r="I118" i="2"/>
  <c r="L117" i="2"/>
  <c r="J117" i="2"/>
  <c r="I117" i="2"/>
  <c r="L116" i="2"/>
  <c r="J116" i="2"/>
  <c r="I116" i="2"/>
  <c r="L115" i="2"/>
  <c r="J115" i="2"/>
  <c r="I115" i="2"/>
  <c r="L114" i="2"/>
  <c r="J114" i="2"/>
  <c r="I114" i="2"/>
  <c r="L113" i="2"/>
  <c r="J113" i="2"/>
  <c r="I113" i="2"/>
  <c r="L112" i="2"/>
  <c r="J112" i="2"/>
  <c r="I112" i="2"/>
  <c r="L111" i="2"/>
  <c r="J111" i="2"/>
  <c r="I111" i="2"/>
  <c r="L110" i="2"/>
  <c r="J110" i="2"/>
  <c r="I110" i="2"/>
  <c r="L109" i="2"/>
  <c r="J109" i="2"/>
  <c r="I109" i="2"/>
  <c r="L108" i="2"/>
  <c r="J108" i="2"/>
  <c r="I108" i="2"/>
  <c r="L107" i="2"/>
  <c r="J107" i="2"/>
  <c r="I107" i="2"/>
  <c r="L106" i="2"/>
  <c r="J106" i="2"/>
  <c r="I106" i="2"/>
  <c r="L105" i="2"/>
  <c r="J105" i="2"/>
  <c r="I105" i="2"/>
  <c r="L104" i="2"/>
  <c r="J104" i="2"/>
  <c r="I104" i="2"/>
  <c r="L103" i="2"/>
  <c r="J103" i="2"/>
  <c r="I103" i="2"/>
  <c r="L102" i="2"/>
  <c r="J102" i="2"/>
  <c r="I102" i="2"/>
  <c r="L101" i="2"/>
  <c r="J101" i="2"/>
  <c r="I101" i="2"/>
  <c r="L100" i="2"/>
  <c r="J100" i="2"/>
  <c r="I100" i="2"/>
  <c r="L99" i="2"/>
  <c r="J99" i="2"/>
  <c r="I99" i="2"/>
  <c r="L98" i="2"/>
  <c r="J98" i="2"/>
  <c r="I98" i="2"/>
  <c r="L97" i="2"/>
  <c r="J97" i="2"/>
  <c r="I97" i="2"/>
  <c r="L96" i="2"/>
  <c r="J96" i="2"/>
  <c r="I96" i="2"/>
  <c r="L95" i="2"/>
  <c r="J95" i="2"/>
  <c r="I95" i="2"/>
  <c r="L94" i="2"/>
  <c r="J94" i="2"/>
  <c r="I94" i="2"/>
  <c r="L93" i="2"/>
  <c r="J93" i="2"/>
  <c r="I93" i="2"/>
  <c r="L92" i="2"/>
  <c r="J92" i="2"/>
  <c r="I92" i="2"/>
  <c r="L91" i="2"/>
  <c r="J91" i="2"/>
  <c r="I91" i="2"/>
  <c r="L90" i="2"/>
  <c r="J90" i="2"/>
  <c r="I90" i="2"/>
  <c r="L89" i="2"/>
  <c r="J89" i="2"/>
  <c r="I89" i="2"/>
  <c r="L88" i="2"/>
  <c r="J88" i="2"/>
  <c r="I88" i="2"/>
  <c r="L87" i="2"/>
  <c r="J87" i="2"/>
  <c r="I87" i="2"/>
  <c r="L86" i="2"/>
  <c r="J86" i="2"/>
  <c r="I86" i="2"/>
  <c r="L85" i="2"/>
  <c r="J85" i="2"/>
  <c r="I85" i="2"/>
  <c r="L84" i="2"/>
  <c r="J84" i="2"/>
  <c r="I84" i="2"/>
  <c r="L83" i="2"/>
  <c r="J83" i="2"/>
  <c r="I83" i="2"/>
  <c r="L82" i="2"/>
  <c r="J82" i="2"/>
  <c r="I82" i="2"/>
  <c r="L81" i="2"/>
  <c r="J81" i="2"/>
  <c r="I81" i="2"/>
  <c r="O80" i="2"/>
  <c r="N80" i="2"/>
  <c r="M80" i="2"/>
  <c r="L80" i="2"/>
  <c r="J80" i="2"/>
  <c r="I80" i="2"/>
  <c r="O79" i="2"/>
  <c r="N79" i="2"/>
  <c r="M79" i="2"/>
  <c r="L79" i="2"/>
  <c r="J79" i="2"/>
  <c r="I79" i="2"/>
  <c r="O78" i="2"/>
  <c r="N78" i="2"/>
  <c r="M78" i="2"/>
  <c r="L78" i="2"/>
  <c r="J78" i="2"/>
  <c r="I78" i="2"/>
  <c r="O77" i="2"/>
  <c r="N77" i="2"/>
  <c r="M77" i="2"/>
  <c r="L77" i="2"/>
  <c r="J77" i="2"/>
  <c r="I77" i="2"/>
  <c r="O76" i="2"/>
  <c r="N76" i="2"/>
  <c r="M76" i="2"/>
  <c r="L76" i="2"/>
  <c r="J76" i="2"/>
  <c r="I76" i="2"/>
  <c r="O75" i="2"/>
  <c r="N75" i="2"/>
  <c r="M75" i="2"/>
  <c r="L75" i="2"/>
  <c r="J75" i="2"/>
  <c r="I75" i="2"/>
  <c r="O74" i="2"/>
  <c r="N74" i="2"/>
  <c r="M74" i="2"/>
  <c r="L74" i="2"/>
  <c r="J74" i="2"/>
  <c r="I74" i="2"/>
  <c r="O73" i="2"/>
  <c r="N73" i="2"/>
  <c r="M73" i="2"/>
  <c r="L73" i="2"/>
  <c r="J73" i="2"/>
  <c r="I73" i="2"/>
  <c r="O72" i="2"/>
  <c r="N72" i="2"/>
  <c r="M72" i="2"/>
  <c r="L72" i="2"/>
  <c r="J72" i="2"/>
  <c r="I72" i="2"/>
  <c r="O71" i="2"/>
  <c r="N71" i="2"/>
  <c r="M71" i="2"/>
  <c r="L71" i="2"/>
  <c r="J71" i="2"/>
  <c r="I71" i="2"/>
  <c r="O70" i="2"/>
  <c r="N70" i="2"/>
  <c r="M70" i="2"/>
  <c r="L70" i="2"/>
  <c r="J70" i="2"/>
  <c r="I70" i="2"/>
  <c r="O69" i="2"/>
  <c r="N69" i="2"/>
  <c r="M69" i="2"/>
  <c r="L69" i="2"/>
  <c r="J69" i="2"/>
  <c r="I69" i="2"/>
  <c r="O68" i="2"/>
  <c r="N68" i="2"/>
  <c r="M68" i="2"/>
  <c r="L68" i="2"/>
  <c r="J68" i="2"/>
  <c r="I68" i="2"/>
  <c r="O67" i="2"/>
  <c r="N67" i="2"/>
  <c r="M67" i="2"/>
  <c r="L67" i="2"/>
  <c r="J67" i="2"/>
  <c r="I67" i="2"/>
  <c r="O66" i="2"/>
  <c r="N66" i="2"/>
  <c r="M66" i="2"/>
  <c r="L66" i="2"/>
  <c r="J66" i="2"/>
  <c r="I66" i="2"/>
  <c r="O65" i="2"/>
  <c r="N65" i="2"/>
  <c r="M65" i="2"/>
  <c r="L65" i="2"/>
  <c r="J65" i="2"/>
  <c r="I65" i="2"/>
  <c r="O64" i="2"/>
  <c r="N64" i="2"/>
  <c r="M64" i="2"/>
  <c r="L64" i="2"/>
  <c r="J64" i="2"/>
  <c r="I64" i="2"/>
  <c r="O63" i="2"/>
  <c r="N63" i="2"/>
  <c r="M63" i="2"/>
  <c r="L63" i="2"/>
  <c r="J63" i="2"/>
  <c r="I63" i="2"/>
  <c r="O62" i="2"/>
  <c r="N62" i="2"/>
  <c r="M62" i="2"/>
  <c r="L62" i="2"/>
  <c r="J62" i="2"/>
  <c r="I62" i="2"/>
  <c r="O61" i="2"/>
  <c r="N61" i="2"/>
  <c r="M61" i="2"/>
  <c r="L61" i="2"/>
  <c r="J61" i="2"/>
  <c r="I61" i="2"/>
  <c r="O60" i="2"/>
  <c r="N60" i="2"/>
  <c r="M60" i="2"/>
  <c r="L60" i="2"/>
  <c r="J60" i="2"/>
  <c r="I60" i="2"/>
  <c r="O59" i="2"/>
  <c r="N59" i="2"/>
  <c r="M59" i="2"/>
  <c r="L59" i="2"/>
  <c r="J59" i="2"/>
  <c r="I59" i="2"/>
  <c r="O58" i="2"/>
  <c r="N58" i="2"/>
  <c r="M58" i="2"/>
  <c r="L58" i="2"/>
  <c r="J58" i="2"/>
  <c r="I58" i="2"/>
  <c r="O57" i="2"/>
  <c r="N57" i="2"/>
  <c r="M57" i="2"/>
  <c r="L57" i="2"/>
  <c r="J57" i="2"/>
  <c r="I57" i="2"/>
  <c r="O56" i="2"/>
  <c r="N56" i="2"/>
  <c r="M56" i="2"/>
  <c r="L56" i="2"/>
  <c r="J56" i="2"/>
  <c r="I56" i="2"/>
  <c r="O55" i="2"/>
  <c r="N55" i="2"/>
  <c r="M55" i="2"/>
  <c r="L55" i="2"/>
  <c r="J55" i="2"/>
  <c r="I55" i="2"/>
  <c r="O54" i="2"/>
  <c r="N54" i="2"/>
  <c r="M54" i="2"/>
  <c r="L54" i="2"/>
  <c r="J54" i="2"/>
  <c r="I54" i="2"/>
  <c r="O53" i="2"/>
  <c r="N53" i="2"/>
  <c r="M53" i="2"/>
  <c r="L53" i="2"/>
  <c r="J53" i="2"/>
  <c r="I53" i="2"/>
  <c r="O52" i="2"/>
  <c r="N52" i="2"/>
  <c r="M52" i="2"/>
  <c r="L52" i="2"/>
  <c r="J52" i="2"/>
  <c r="I52" i="2"/>
  <c r="O51" i="2"/>
  <c r="N51" i="2"/>
  <c r="M51" i="2"/>
  <c r="L51" i="2"/>
  <c r="J51" i="2"/>
  <c r="I51" i="2"/>
  <c r="O50" i="2"/>
  <c r="N50" i="2"/>
  <c r="M50" i="2"/>
  <c r="L50" i="2"/>
  <c r="J50" i="2"/>
  <c r="I50" i="2"/>
  <c r="O49" i="2"/>
  <c r="N49" i="2"/>
  <c r="M49" i="2"/>
  <c r="L49" i="2"/>
  <c r="J49" i="2"/>
  <c r="I49" i="2"/>
  <c r="O48" i="2"/>
  <c r="N48" i="2"/>
  <c r="M48" i="2"/>
  <c r="L48" i="2"/>
  <c r="J48" i="2"/>
  <c r="I48" i="2"/>
  <c r="O47" i="2"/>
  <c r="N47" i="2"/>
  <c r="M47" i="2"/>
  <c r="L47" i="2"/>
  <c r="J47" i="2"/>
  <c r="I47" i="2"/>
  <c r="O46" i="2"/>
  <c r="N46" i="2"/>
  <c r="M46" i="2"/>
  <c r="L46" i="2"/>
  <c r="J46" i="2"/>
  <c r="I46" i="2"/>
  <c r="O45" i="2"/>
  <c r="N45" i="2"/>
  <c r="M45" i="2"/>
  <c r="L45" i="2"/>
  <c r="J45" i="2"/>
  <c r="I45" i="2"/>
  <c r="P44" i="2"/>
  <c r="O44" i="2"/>
  <c r="N44" i="2" a="1"/>
  <c r="N44" i="2" s="1"/>
  <c r="M44" i="2" a="1"/>
  <c r="M44" i="2" s="1"/>
  <c r="L44" i="2"/>
  <c r="P43" i="2"/>
  <c r="O43" i="2"/>
  <c r="N43" i="2" a="1"/>
  <c r="N43" i="2" s="1"/>
  <c r="M43" i="2" a="1"/>
  <c r="M43" i="2"/>
  <c r="L43" i="2"/>
  <c r="O42" i="2"/>
  <c r="N42" i="2" a="1"/>
  <c r="N42" i="2" s="1"/>
  <c r="M42" i="2" a="1"/>
  <c r="M42" i="2" s="1"/>
  <c r="L42" i="2"/>
  <c r="O41" i="2"/>
  <c r="N41" i="2" a="1"/>
  <c r="N41" i="2" s="1"/>
  <c r="M41" i="2" a="1"/>
  <c r="M41" i="2" s="1"/>
  <c r="L41" i="2"/>
  <c r="P40" i="2"/>
  <c r="O40" i="2"/>
  <c r="N40" i="2" a="1"/>
  <c r="N40" i="2" s="1"/>
  <c r="M40" i="2" a="1"/>
  <c r="M40" i="2" s="1"/>
  <c r="L40" i="2"/>
  <c r="P39" i="2"/>
  <c r="O39" i="2"/>
  <c r="N39" i="2" a="1"/>
  <c r="N39" i="2" s="1"/>
  <c r="M39" i="2" a="1"/>
  <c r="M39" i="2" s="1"/>
  <c r="L39" i="2"/>
  <c r="P38" i="2"/>
  <c r="O38" i="2"/>
  <c r="N38" i="2" a="1"/>
  <c r="N38" i="2" s="1"/>
  <c r="M38" i="2" a="1"/>
  <c r="M38" i="2" s="1"/>
  <c r="L38" i="2"/>
  <c r="P37" i="2"/>
  <c r="O37" i="2"/>
  <c r="N37" i="2" a="1"/>
  <c r="N37" i="2" s="1"/>
  <c r="M37" i="2" a="1"/>
  <c r="M37" i="2" s="1"/>
  <c r="L37" i="2"/>
  <c r="P36" i="2"/>
  <c r="O36" i="2"/>
  <c r="N36" i="2" a="1"/>
  <c r="N36" i="2"/>
  <c r="M36" i="2" a="1"/>
  <c r="M36" i="2" s="1"/>
  <c r="L36" i="2"/>
  <c r="P35" i="2"/>
  <c r="O35" i="2"/>
  <c r="N35" i="2" a="1"/>
  <c r="N35" i="2"/>
  <c r="M35" i="2" a="1"/>
  <c r="M35" i="2" s="1"/>
  <c r="L35" i="2"/>
  <c r="O34" i="2"/>
  <c r="N34" i="2" a="1"/>
  <c r="N34" i="2"/>
  <c r="M34" i="2" a="1"/>
  <c r="M34" i="2"/>
  <c r="L34" i="2"/>
  <c r="P33" i="2"/>
  <c r="O33" i="2"/>
  <c r="N33" i="2" a="1"/>
  <c r="N33" i="2"/>
  <c r="M33" i="2" a="1"/>
  <c r="M33" i="2"/>
  <c r="L33" i="2"/>
  <c r="P32" i="2"/>
  <c r="O32" i="2"/>
  <c r="N32" i="2" a="1"/>
  <c r="N32" i="2"/>
  <c r="M32" i="2" a="1"/>
  <c r="M32" i="2"/>
  <c r="L32" i="2"/>
  <c r="P31" i="2"/>
  <c r="O31" i="2"/>
  <c r="N31" i="2" a="1"/>
  <c r="N31" i="2"/>
  <c r="M31" i="2" a="1"/>
  <c r="M31" i="2" s="1"/>
  <c r="L31" i="2"/>
  <c r="P30" i="2"/>
  <c r="O30" i="2"/>
  <c r="N30" i="2" a="1"/>
  <c r="N30" i="2"/>
  <c r="M30" i="2" a="1"/>
  <c r="M30" i="2"/>
  <c r="L30" i="2"/>
  <c r="P29" i="2"/>
  <c r="O29" i="2"/>
  <c r="N29" i="2" a="1"/>
  <c r="N29" i="2"/>
  <c r="M29" i="2" a="1"/>
  <c r="M29" i="2"/>
  <c r="L29" i="2"/>
  <c r="P28" i="2"/>
  <c r="O28" i="2"/>
  <c r="N28" i="2" a="1"/>
  <c r="N28" i="2" s="1"/>
  <c r="M28" i="2" a="1"/>
  <c r="M28" i="2" s="1"/>
  <c r="L28" i="2"/>
  <c r="P27" i="2"/>
  <c r="O27" i="2"/>
  <c r="N27" i="2" a="1"/>
  <c r="N27" i="2" s="1"/>
  <c r="M27" i="2" a="1"/>
  <c r="M27" i="2"/>
  <c r="L27" i="2"/>
  <c r="P26" i="2"/>
  <c r="O26" i="2"/>
  <c r="N26" i="2" a="1"/>
  <c r="N26" i="2" s="1"/>
  <c r="M26" i="2" a="1"/>
  <c r="M26" i="2" s="1"/>
  <c r="L26" i="2"/>
  <c r="P25" i="2"/>
  <c r="O25" i="2"/>
  <c r="N25" i="2" a="1"/>
  <c r="N25" i="2" s="1"/>
  <c r="M25" i="2" a="1"/>
  <c r="M25" i="2" s="1"/>
  <c r="L25" i="2"/>
  <c r="P24" i="2"/>
  <c r="O24" i="2"/>
  <c r="N24" i="2" a="1"/>
  <c r="N24" i="2" s="1"/>
  <c r="M24" i="2" a="1"/>
  <c r="M24" i="2" s="1"/>
  <c r="L24" i="2"/>
  <c r="P23" i="2"/>
  <c r="O23" i="2"/>
  <c r="N23" i="2" a="1"/>
  <c r="N23" i="2" s="1"/>
  <c r="M23" i="2" a="1"/>
  <c r="M23" i="2" s="1"/>
  <c r="L23" i="2"/>
  <c r="P22" i="2"/>
  <c r="O22" i="2"/>
  <c r="N22" i="2" a="1"/>
  <c r="N22" i="2" s="1"/>
  <c r="M22" i="2" a="1"/>
  <c r="M22" i="2" s="1"/>
  <c r="L22" i="2"/>
  <c r="P21" i="2"/>
  <c r="O21" i="2"/>
  <c r="N21" i="2" a="1"/>
  <c r="N21" i="2" s="1"/>
  <c r="M21" i="2" a="1"/>
  <c r="M21" i="2" s="1"/>
  <c r="L21" i="2"/>
  <c r="P20" i="2"/>
  <c r="O20" i="2"/>
  <c r="N20" i="2" a="1"/>
  <c r="N20" i="2"/>
  <c r="M20" i="2" a="1"/>
  <c r="M20" i="2" s="1"/>
  <c r="L20" i="2"/>
  <c r="P19" i="2"/>
  <c r="O19" i="2"/>
  <c r="N19" i="2" a="1"/>
  <c r="N19" i="2"/>
  <c r="M19" i="2" a="1"/>
  <c r="M19" i="2" s="1"/>
  <c r="L19" i="2"/>
  <c r="P18" i="2"/>
  <c r="O18" i="2"/>
  <c r="N18" i="2" a="1"/>
  <c r="N18" i="2"/>
  <c r="M18" i="2" a="1"/>
  <c r="M18" i="2"/>
  <c r="L18" i="2"/>
  <c r="P17" i="2"/>
  <c r="O17" i="2"/>
  <c r="N17" i="2" a="1"/>
  <c r="N17" i="2"/>
  <c r="M17" i="2" a="1"/>
  <c r="M17" i="2"/>
  <c r="L17" i="2"/>
  <c r="P16" i="2"/>
  <c r="O16" i="2"/>
  <c r="N16" i="2" a="1"/>
  <c r="N16" i="2"/>
  <c r="M16" i="2" a="1"/>
  <c r="M16" i="2"/>
  <c r="L16" i="2"/>
  <c r="P15" i="2"/>
  <c r="O15" i="2"/>
  <c r="N15" i="2" a="1"/>
  <c r="N15" i="2"/>
  <c r="M15" i="2" a="1"/>
  <c r="M15" i="2"/>
  <c r="L15" i="2"/>
  <c r="P14" i="2"/>
  <c r="O14" i="2"/>
  <c r="N14" i="2" a="1"/>
  <c r="N14" i="2"/>
  <c r="M14" i="2" a="1"/>
  <c r="M14" i="2"/>
  <c r="L14" i="2"/>
  <c r="P13" i="2"/>
  <c r="O13" i="2"/>
  <c r="N13" i="2" a="1"/>
  <c r="N13" i="2"/>
  <c r="M13" i="2" a="1"/>
  <c r="M13" i="2"/>
  <c r="L13" i="2"/>
  <c r="P12" i="2"/>
  <c r="O12" i="2"/>
  <c r="N12" i="2" a="1"/>
  <c r="N12" i="2" s="1"/>
  <c r="M12" i="2" a="1"/>
  <c r="M12" i="2" s="1"/>
  <c r="L12" i="2"/>
  <c r="P11" i="2"/>
  <c r="O11" i="2"/>
  <c r="N11" i="2" a="1"/>
  <c r="N11" i="2" s="1"/>
  <c r="M11" i="2" a="1"/>
  <c r="M11" i="2"/>
  <c r="L11" i="2"/>
  <c r="P10" i="2"/>
  <c r="O10" i="2"/>
  <c r="N10" i="2" a="1"/>
  <c r="N10" i="2" s="1"/>
  <c r="M10" i="2" a="1"/>
  <c r="M10" i="2" s="1"/>
  <c r="L10" i="2"/>
  <c r="P9" i="2"/>
  <c r="N9" i="2" a="1"/>
  <c r="N9" i="2" s="1"/>
  <c r="M9" i="2" a="1"/>
  <c r="M9" i="2" s="1"/>
  <c r="L9" i="2"/>
  <c r="P8" i="2"/>
  <c r="O8" i="2"/>
  <c r="N8" i="2" a="1"/>
  <c r="N8" i="2" s="1"/>
  <c r="M8" i="2" a="1"/>
  <c r="M8" i="2" s="1"/>
  <c r="L8" i="2"/>
  <c r="P7" i="2"/>
  <c r="O7" i="2"/>
  <c r="N7" i="2" a="1"/>
  <c r="N7" i="2" s="1"/>
  <c r="M7" i="2" a="1"/>
  <c r="M7" i="2" s="1"/>
  <c r="L7" i="2"/>
  <c r="P6" i="2"/>
  <c r="O6" i="2"/>
  <c r="N6" i="2" a="1"/>
  <c r="N6" i="2"/>
  <c r="M6" i="2" a="1"/>
  <c r="M6" i="2" s="1"/>
  <c r="L6" i="2"/>
  <c r="P5" i="2"/>
  <c r="O5" i="2"/>
  <c r="N5" i="2" a="1"/>
  <c r="N5" i="2" s="1"/>
  <c r="M5" i="2" a="1"/>
  <c r="M5" i="2" s="1"/>
  <c r="L5" i="2"/>
  <c r="P4" i="2"/>
  <c r="O4" i="2"/>
  <c r="O9" i="2" s="1"/>
  <c r="N4" i="2" a="1"/>
  <c r="N4" i="2"/>
  <c r="M4" i="2" a="1"/>
  <c r="M4" i="2"/>
  <c r="L4" i="2"/>
  <c r="N3" i="7" l="1"/>
  <c r="N11" i="7"/>
  <c r="N19" i="7"/>
  <c r="N27" i="7"/>
  <c r="N35" i="7"/>
  <c r="N4" i="7"/>
  <c r="N12" i="7"/>
  <c r="N20" i="7"/>
  <c r="N28" i="7"/>
  <c r="N36" i="7"/>
  <c r="N6" i="7"/>
  <c r="N14" i="7"/>
  <c r="N22" i="7"/>
  <c r="N30" i="7"/>
  <c r="N38" i="7"/>
  <c r="N7" i="7"/>
  <c r="N15" i="7"/>
  <c r="N23" i="7"/>
  <c r="N31" i="7"/>
  <c r="N39" i="7"/>
  <c r="N9" i="7"/>
  <c r="N17" i="7"/>
  <c r="N25" i="7"/>
  <c r="N33" i="7"/>
  <c r="N41" i="7"/>
  <c r="P34" i="2"/>
  <c r="P42" i="2" s="1"/>
  <c r="P41" i="2"/>
</calcChain>
</file>

<file path=xl/sharedStrings.xml><?xml version="1.0" encoding="utf-8"?>
<sst xmlns="http://schemas.openxmlformats.org/spreadsheetml/2006/main" count="1250" uniqueCount="303">
  <si>
    <t>旅外就是神｜V1.3 Excel Final｜今日出賽球員</t>
  </si>
  <si>
    <t>投手</t>
  </si>
  <si>
    <t>台灣旅外戰力分布(含台裔)</t>
  </si>
  <si>
    <t>姓名</t>
  </si>
  <si>
    <t>今日成績</t>
  </si>
  <si>
    <t>野手</t>
  </si>
  <si>
    <t>球員異動狀態</t>
  </si>
  <si>
    <t>球員</t>
  </si>
  <si>
    <t>異動</t>
  </si>
  <si>
    <t>狀態</t>
  </si>
  <si>
    <t>旅外就是神｜今日戰報</t>
  </si>
  <si>
    <t>日期</t>
  </si>
  <si>
    <t>球員ID</t>
  </si>
  <si>
    <t>分類</t>
  </si>
  <si>
    <t>層級</t>
  </si>
  <si>
    <t>守位</t>
  </si>
  <si>
    <t>球隊</t>
  </si>
  <si>
    <t>是否先發/前次出賽</t>
  </si>
  <si>
    <t>對手</t>
  </si>
  <si>
    <t>成績</t>
  </si>
  <si>
    <t>1備註</t>
  </si>
  <si>
    <t>排序欄1</t>
  </si>
  <si>
    <t>排序欄2</t>
  </si>
  <si>
    <t>排序欄3</t>
  </si>
  <si>
    <t>首頁投手序</t>
  </si>
  <si>
    <t>首頁野手序</t>
  </si>
  <si>
    <t>鄧愷威</t>
  </si>
  <si>
    <t>NO(4/21)</t>
  </si>
  <si>
    <t>林昱珉</t>
  </si>
  <si>
    <t>YES</t>
  </si>
  <si>
    <t>0.2IP，32P，5H，5R，2ER，2K，ERA 6.35，WHIP 2.12(L)</t>
  </si>
  <si>
    <t>林振瑋</t>
  </si>
  <si>
    <t>NO(4/18)</t>
  </si>
  <si>
    <t>莊陳仲敖</t>
  </si>
  <si>
    <t>林維恩</t>
  </si>
  <si>
    <t>NO(4/19)</t>
  </si>
  <si>
    <t>陳柏毓</t>
  </si>
  <si>
    <t>4.0IP，4H，2R，1ER，1HR，4K，2BB，73P,ERA 5.65，WHIP 1.47 (無關勝敗)</t>
  </si>
  <si>
    <t>劉致榮</t>
  </si>
  <si>
    <t>NO(38/60天)</t>
  </si>
  <si>
    <t>沙子宸</t>
  </si>
  <si>
    <t>NO(4/20)</t>
  </si>
  <si>
    <t>張弘稜</t>
  </si>
  <si>
    <t>5.0IP，75P，6H，5R，5ER，2HR，4K，3BB，ERA 10.66，WHIP 1.89 (W)</t>
  </si>
  <si>
    <t>沈家羲</t>
  </si>
  <si>
    <t>林盛恩</t>
  </si>
  <si>
    <t>黃仲翔</t>
  </si>
  <si>
    <t>潘文輝</t>
  </si>
  <si>
    <t>NO(4/23)</t>
  </si>
  <si>
    <t>李晨薰</t>
  </si>
  <si>
    <t>NO</t>
  </si>
  <si>
    <t>林張子俊</t>
  </si>
  <si>
    <t>林鉑濬</t>
  </si>
  <si>
    <t>陽念希</t>
  </si>
  <si>
    <t>蘇嵐鴻</t>
  </si>
  <si>
    <t>宋家豪</t>
  </si>
  <si>
    <t>古林睿煬</t>
  </si>
  <si>
    <t>孫易磊</t>
  </si>
  <si>
    <t>徐若熙</t>
  </si>
  <si>
    <t>徐翔聖</t>
  </si>
  <si>
    <t>張峻瑋</t>
  </si>
  <si>
    <t>陳睦衡</t>
  </si>
  <si>
    <t>黃錦豪</t>
  </si>
  <si>
    <t>蕭齊</t>
  </si>
  <si>
    <t>王彥程</t>
  </si>
  <si>
    <t>李灝宇</t>
  </si>
  <si>
    <t>NO(4/22)</t>
  </si>
  <si>
    <t>鄭宗哲</t>
  </si>
  <si>
    <t>5AB，1H，3K，AVG.262，OBP.395，SLG.508​</t>
  </si>
  <si>
    <t>柯敬賢</t>
  </si>
  <si>
    <t>3AB，0H，3K，1BB，AVG.346，OBP.469，SLG.654</t>
  </si>
  <si>
    <t>廖宥霖</t>
  </si>
  <si>
    <t>林安可</t>
  </si>
  <si>
    <t>林冠臣</t>
  </si>
  <si>
    <t>林家正</t>
  </si>
  <si>
    <t>陽柏翔</t>
  </si>
  <si>
    <t>Corbin Carroll</t>
  </si>
  <si>
    <t>4AB，0H，1K，AVG.296，OBP.396，SLG.580</t>
  </si>
  <si>
    <t>Jonathon Long</t>
  </si>
  <si>
    <t>4AB，0H，AVG.267，OBP.370，SLG.395</t>
  </si>
  <si>
    <t>Stuart Fairchild</t>
  </si>
  <si>
    <t>Tyler Wilson</t>
  </si>
  <si>
    <t>4AB，1H，1RBI，1BB，1SB,AVG.200，OBP.267，SLG長打率.250</t>
  </si>
  <si>
    <t>國家</t>
  </si>
  <si>
    <t>聯盟</t>
  </si>
  <si>
    <t>升降</t>
  </si>
  <si>
    <t>排序_分類</t>
  </si>
  <si>
    <t>排序_層級</t>
  </si>
  <si>
    <t>排序_姓名</t>
  </si>
  <si>
    <t>前次_層級</t>
  </si>
  <si>
    <t>狀態序</t>
  </si>
  <si>
    <t>前次狀態</t>
  </si>
  <si>
    <t>IL天數</t>
  </si>
  <si>
    <t>IL已過</t>
  </si>
  <si>
    <t>狀態標籤</t>
  </si>
  <si>
    <t>狀態異動</t>
  </si>
  <si>
    <t>異動源</t>
  </si>
  <si>
    <t>狀態排序</t>
  </si>
  <si>
    <t>事件標籤</t>
  </si>
  <si>
    <t xml:space="preserve"> 事件排序</t>
  </si>
  <si>
    <t xml:space="preserve">李灝宇 </t>
  </si>
  <si>
    <t>li-hao-yu</t>
  </si>
  <si>
    <t>旅美</t>
  </si>
  <si>
    <t>美國</t>
  </si>
  <si>
    <t>MLB</t>
  </si>
  <si>
    <t>底特律老虎</t>
  </si>
  <si>
    <t>現役</t>
  </si>
  <si>
    <t xml:space="preserve">鄧愷威 </t>
  </si>
  <si>
    <t>deng-kai-wei</t>
  </si>
  <si>
    <t>休士頓太空人</t>
  </si>
  <si>
    <t xml:space="preserve">林昱珉 </t>
  </si>
  <si>
    <t>lin-yu-min</t>
  </si>
  <si>
    <t>MiLB</t>
  </si>
  <si>
    <t>亞利桑那響尾蛇</t>
  </si>
  <si>
    <t>3A</t>
  </si>
  <si>
    <t xml:space="preserve">鄭宗哲 </t>
  </si>
  <si>
    <t>zheng-zong-zhe</t>
  </si>
  <si>
    <t>波士頓紅襪</t>
  </si>
  <si>
    <t xml:space="preserve">林振瑋 </t>
  </si>
  <si>
    <t>lin-zhen-wei</t>
  </si>
  <si>
    <t>聖路易紅雀</t>
  </si>
  <si>
    <t>2A</t>
  </si>
  <si>
    <t xml:space="preserve">林維恩 </t>
  </si>
  <si>
    <t>lin-wei-en</t>
  </si>
  <si>
    <t>奧克蘭運動家</t>
  </si>
  <si>
    <t xml:space="preserve">莊陳仲敖 </t>
  </si>
  <si>
    <t>zhuang-chen-zhong-ao</t>
  </si>
  <si>
    <t xml:space="preserve">陳柏毓 </t>
  </si>
  <si>
    <t>chen-bo-yu</t>
  </si>
  <si>
    <t>匹茲堡海盜</t>
  </si>
  <si>
    <t xml:space="preserve">劉致榮 </t>
  </si>
  <si>
    <t>liu-zhi-rong</t>
  </si>
  <si>
    <t>傷兵</t>
  </si>
  <si>
    <t xml:space="preserve">沙子宸 </t>
  </si>
  <si>
    <t>sha-zi-chen</t>
  </si>
  <si>
    <t>A+</t>
  </si>
  <si>
    <t xml:space="preserve">張弘稜 </t>
  </si>
  <si>
    <t>zhang-hong-leng</t>
  </si>
  <si>
    <t xml:space="preserve">沈家羲 </t>
  </si>
  <si>
    <t>shen-jia-xi</t>
  </si>
  <si>
    <t>西雅圖水手</t>
  </si>
  <si>
    <t>1A</t>
  </si>
  <si>
    <t xml:space="preserve">林盛恩 </t>
  </si>
  <si>
    <t>lin-sheng-en</t>
  </si>
  <si>
    <t>辛辛那提紅人</t>
  </si>
  <si>
    <t>ke-jing-xian</t>
  </si>
  <si>
    <t>外野手</t>
  </si>
  <si>
    <t>洛杉磯道奇</t>
  </si>
  <si>
    <t xml:space="preserve">黃仲翔 </t>
  </si>
  <si>
    <t>huang-zhong-xiang</t>
  </si>
  <si>
    <t xml:space="preserve">潘文輝 </t>
  </si>
  <si>
    <t>pan-wen-hui</t>
  </si>
  <si>
    <t>費城費城人</t>
  </si>
  <si>
    <t xml:space="preserve">李晨薰 </t>
  </si>
  <si>
    <t>li-chen-xun</t>
  </si>
  <si>
    <t>舊金山巨人</t>
  </si>
  <si>
    <t>RK</t>
  </si>
  <si>
    <t xml:space="preserve">林張子俊 </t>
  </si>
  <si>
    <t>lin-zhang-zi-jun</t>
  </si>
  <si>
    <t>密爾瓦基釀酒人</t>
  </si>
  <si>
    <t xml:space="preserve">林鉑濬 </t>
  </si>
  <si>
    <t>lin-bo-jun</t>
  </si>
  <si>
    <t xml:space="preserve">陽念希 </t>
  </si>
  <si>
    <t>yang-nian-xi</t>
  </si>
  <si>
    <t xml:space="preserve">廖宥霖 </t>
  </si>
  <si>
    <t>liao-you-lin</t>
  </si>
  <si>
    <t>內野手</t>
  </si>
  <si>
    <t xml:space="preserve">蘇嵐鴻 </t>
  </si>
  <si>
    <t>su-lan-hong</t>
  </si>
  <si>
    <t>聖地牙哥教士</t>
  </si>
  <si>
    <t xml:space="preserve">宋家豪 </t>
  </si>
  <si>
    <t>song-jia-hao</t>
  </si>
  <si>
    <t>旅日</t>
  </si>
  <si>
    <t>日本</t>
  </si>
  <si>
    <t>NPB</t>
  </si>
  <si>
    <t>東北樂天金鷲</t>
  </si>
  <si>
    <t>日職一軍</t>
  </si>
  <si>
    <t xml:space="preserve">林安可 </t>
  </si>
  <si>
    <t>lin-an-ke</t>
  </si>
  <si>
    <t>埼玉西武獅</t>
  </si>
  <si>
    <t xml:space="preserve">古林睿煬 </t>
  </si>
  <si>
    <t>gu-lin-rui-yang</t>
  </si>
  <si>
    <t>北海道日本火腿鬥士</t>
  </si>
  <si>
    <t>日職二軍</t>
  </si>
  <si>
    <t xml:space="preserve">林冠臣 </t>
  </si>
  <si>
    <t>lin-guan-chen</t>
  </si>
  <si>
    <t xml:space="preserve">林家正 </t>
  </si>
  <si>
    <t>lin-jia-zheng</t>
  </si>
  <si>
    <t>捕手</t>
  </si>
  <si>
    <t xml:space="preserve">孫易磊 </t>
  </si>
  <si>
    <t>sun-yi-lei</t>
  </si>
  <si>
    <t xml:space="preserve">徐若熙 </t>
  </si>
  <si>
    <t>xu-ruo-xi</t>
  </si>
  <si>
    <t>福岡軟銀鷹</t>
  </si>
  <si>
    <t xml:space="preserve">徐翔聖 </t>
  </si>
  <si>
    <t>xu-xiang-sheng</t>
  </si>
  <si>
    <t>東京養樂多燕子</t>
  </si>
  <si>
    <t xml:space="preserve">張峻瑋 </t>
  </si>
  <si>
    <t>zhang-jun-wei</t>
  </si>
  <si>
    <t xml:space="preserve">陳睦衡 </t>
  </si>
  <si>
    <t>chen-mu-heng</t>
  </si>
  <si>
    <t>歐力士猛牛</t>
  </si>
  <si>
    <t xml:space="preserve">陽柏翔 </t>
  </si>
  <si>
    <t>yang-bo-xiang</t>
  </si>
  <si>
    <t xml:space="preserve">黃錦豪 </t>
  </si>
  <si>
    <t>huang-jin-hao</t>
  </si>
  <si>
    <t>讀賣巨人</t>
  </si>
  <si>
    <t xml:space="preserve">蕭齊 </t>
  </si>
  <si>
    <t>xiao-qi</t>
  </si>
  <si>
    <t xml:space="preserve">王彥程 </t>
  </si>
  <si>
    <t>wang-yan-cheng</t>
  </si>
  <si>
    <t>旅韓</t>
  </si>
  <si>
    <t>韓國</t>
  </si>
  <si>
    <t xml:space="preserve">KBO </t>
  </si>
  <si>
    <t>韓華鷹</t>
  </si>
  <si>
    <t>韓職一軍</t>
  </si>
  <si>
    <t xml:space="preserve">Corbin Carroll </t>
  </si>
  <si>
    <t>corbin-carroll</t>
  </si>
  <si>
    <t>台裔</t>
  </si>
  <si>
    <t>亞歷桑納響尾蛇</t>
  </si>
  <si>
    <t xml:space="preserve">Jonathon Long </t>
  </si>
  <si>
    <t>jonathon-long</t>
  </si>
  <si>
    <t>芝加哥小熊</t>
  </si>
  <si>
    <t xml:space="preserve">Stuart Fairchild </t>
  </si>
  <si>
    <t>stuart-fairchild</t>
  </si>
  <si>
    <t>克里夫蘭守護者</t>
  </si>
  <si>
    <t xml:space="preserve">Tyler Wilson </t>
  </si>
  <si>
    <t>tyler-wilson</t>
  </si>
  <si>
    <t>紐約洋基</t>
  </si>
  <si>
    <t>OPS</t>
  </si>
  <si>
    <t>OPS+</t>
  </si>
  <si>
    <t>AVG</t>
  </si>
  <si>
    <t>OBP</t>
  </si>
  <si>
    <t>SLG</t>
  </si>
  <si>
    <t>ISO</t>
  </si>
  <si>
    <t>BABIP</t>
  </si>
  <si>
    <t>BIP</t>
  </si>
  <si>
    <t>RC</t>
  </si>
  <si>
    <t>wOBA</t>
  </si>
  <si>
    <t>BB%</t>
  </si>
  <si>
    <t>BB/K</t>
  </si>
  <si>
    <t>K%</t>
  </si>
  <si>
    <t>Whiff%</t>
  </si>
  <si>
    <t>SB%</t>
  </si>
  <si>
    <t>打數</t>
  </si>
  <si>
    <t>得分</t>
  </si>
  <si>
    <t>安打</t>
  </si>
  <si>
    <t>二安</t>
  </si>
  <si>
    <t>三安</t>
  </si>
  <si>
    <t>全壘打</t>
  </si>
  <si>
    <t>打點</t>
  </si>
  <si>
    <t>四壞</t>
  </si>
  <si>
    <t>故四</t>
  </si>
  <si>
    <t>觸身</t>
  </si>
  <si>
    <t>三振</t>
  </si>
  <si>
    <t>犧觸</t>
  </si>
  <si>
    <t>犧飛</t>
  </si>
  <si>
    <t>雙殺</t>
  </si>
  <si>
    <t>盜壘</t>
  </si>
  <si>
    <t>盜刺</t>
  </si>
  <si>
    <t>打擊率</t>
  </si>
  <si>
    <t>出賽</t>
  </si>
  <si>
    <t>局數</t>
  </si>
  <si>
    <t>勝</t>
  </si>
  <si>
    <t>敗</t>
  </si>
  <si>
    <t>失分</t>
  </si>
  <si>
    <t>責失</t>
  </si>
  <si>
    <t>ERA</t>
  </si>
  <si>
    <t>被安打</t>
  </si>
  <si>
    <t>被盜壘</t>
  </si>
  <si>
    <t>K/9</t>
  </si>
  <si>
    <t>BB/9</t>
  </si>
  <si>
    <t>FIP</t>
  </si>
  <si>
    <t>WHIP</t>
  </si>
  <si>
    <t>LOB%</t>
  </si>
  <si>
    <t>H9</t>
  </si>
  <si>
    <t>HR9</t>
  </si>
  <si>
    <t>辛辛那提交人</t>
  </si>
  <si>
    <t>一軍</t>
  </si>
  <si>
    <t>KBO</t>
  </si>
  <si>
    <t>原球隊</t>
  </si>
  <si>
    <t>新球隊</t>
  </si>
  <si>
    <t>轉隊顯示</t>
  </si>
  <si>
    <t>原層級排序</t>
  </si>
  <si>
    <t>新層級排序</t>
  </si>
  <si>
    <t>異動類型</t>
  </si>
  <si>
    <t>異動顯示</t>
  </si>
  <si>
    <t>原狀態</t>
  </si>
  <si>
    <t>新狀態</t>
  </si>
  <si>
    <t>狀態欄顯示</t>
  </si>
  <si>
    <t>事件旗標</t>
  </si>
  <si>
    <t>事件序</t>
  </si>
  <si>
    <t>備註</t>
  </si>
  <si>
    <t>分類：MLB / MiLB / NPB / KBO / 台裔 / 其他</t>
  </si>
  <si>
    <t>層級：MLB / 3A / 2A / A+ / 1A / RK / 日職一軍 / 日職二軍 / 育成 / 韓職一軍 / 韓職二軍 / 其他</t>
  </si>
  <si>
    <t>狀態：現役 / 傷兵 / 觀察 / 離隊 / 退休</t>
  </si>
  <si>
    <t>異動：▲ / ▼ / ⚕ / ↩ / ⇄ / -</t>
  </si>
  <si>
    <t>高A</t>
  </si>
  <si>
    <t>Rookie</t>
  </si>
  <si>
    <t>韓職</t>
  </si>
  <si>
    <t>合計</t>
  </si>
  <si>
    <t>-</t>
  </si>
  <si>
    <t>⚕ IL(39/60)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</si>
</sst>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新細明體"/>
    </font>
    <font>
      <sz val="12"/>
      <color rgb="FF000000"/>
      <name val="標楷體"/>
      <family val="4"/>
      <charset val="136"/>
    </font>
    <font>
      <sz val="12"/>
      <color theme="1"/>
      <name val="新細明體"/>
      <family val="1"/>
      <charset val="136"/>
    </font>
    <font>
      <sz val="12"/>
      <color rgb="FF000000"/>
      <name val="宋体"/>
    </font>
    <font>
      <sz val="9"/>
      <name val="細明體"/>
      <family val="3"/>
      <charset val="136"/>
    </font>
    <font>
      <sz val="12"/>
      <color theme="1"/>
      <name val="標楷體"/>
      <family val="4"/>
      <charset val="136"/>
    </font>
    <font>
      <sz val="10"/>
      <color rgb="FF000000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4"/>
      <color rgb="FF1F2937"/>
      <name val="標楷體"/>
      <family val="4"/>
      <charset val="136"/>
    </font>
    <font>
      <sz val="10"/>
      <color theme="1"/>
      <name val="標楷體"/>
      <family val="4"/>
      <charset val="136"/>
    </font>
    <font>
      <b/>
      <sz val="12"/>
      <color rgb="FF000000"/>
      <name val="標楷體"/>
      <family val="4"/>
      <charset val="136"/>
    </font>
    <font>
      <b/>
      <sz val="14"/>
      <color rgb="FF000000"/>
      <name val="標楷體"/>
      <family val="4"/>
      <charset val="136"/>
    </font>
    <font>
      <b/>
      <sz val="14"/>
      <color theme="1"/>
      <name val="標楷體"/>
      <family val="4"/>
      <charset val="136"/>
    </font>
  </fonts>
  <fills count="12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D9D9D9"/>
      </patternFill>
    </fill>
    <fill>
      <patternFill patternType="solid">
        <fgColor rgb="FF00B0F0"/>
      </patternFill>
    </fill>
    <fill>
      <patternFill patternType="solid">
        <fgColor rgb="FF92D05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4" tint="0.79992065187536243"/>
        <bgColor indexed="65"/>
      </patternFill>
    </fill>
    <fill>
      <patternFill patternType="solid">
        <fgColor rgb="FFF3F4F6"/>
      </patternFill>
    </fill>
    <fill>
      <patternFill patternType="solid">
        <fgColor rgb="FFE0F2FE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D9EAF7"/>
      </patternFill>
    </fill>
  </fills>
  <borders count="17">
    <border>
      <left/>
      <right/>
      <top/>
      <bottom/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/>
    <xf numFmtId="0" fontId="1" fillId="2" borderId="0" xfId="0" applyFont="1" applyFill="1" applyAlignment="1"/>
    <xf numFmtId="0" fontId="0" fillId="0" borderId="1" xfId="0" applyBorder="1" applyAlignment="1"/>
    <xf numFmtId="0" fontId="2" fillId="0" borderId="1" xfId="0" applyFont="1" applyBorder="1" applyAlignment="1"/>
    <xf numFmtId="0" fontId="0" fillId="0" borderId="2" xfId="0" applyBorder="1" applyAlignment="1"/>
    <xf numFmtId="0" fontId="0" fillId="0" borderId="3" xfId="0" applyBorder="1" applyAlignment="1"/>
    <xf numFmtId="0" fontId="3" fillId="0" borderId="0" xfId="0" applyFont="1" applyAlignment="1"/>
    <xf numFmtId="0" fontId="0" fillId="0" borderId="0" xfId="0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5" fillId="0" borderId="0" xfId="0" applyFont="1">
      <alignment vertical="center"/>
    </xf>
    <xf numFmtId="0" fontId="1" fillId="2" borderId="4" xfId="0" applyFont="1" applyFill="1" applyBorder="1" applyAlignment="1"/>
    <xf numFmtId="0" fontId="1" fillId="2" borderId="5" xfId="0" applyFont="1" applyFill="1" applyBorder="1" applyAlignment="1"/>
    <xf numFmtId="0" fontId="7" fillId="2" borderId="5" xfId="0" applyFont="1" applyFill="1" applyBorder="1" applyAlignment="1"/>
    <xf numFmtId="0" fontId="1" fillId="4" borderId="4" xfId="0" applyFont="1" applyFill="1" applyBorder="1" applyAlignment="1"/>
    <xf numFmtId="0" fontId="1" fillId="4" borderId="5" xfId="0" applyFont="1" applyFill="1" applyBorder="1" applyAlignment="1"/>
    <xf numFmtId="0" fontId="1" fillId="5" borderId="4" xfId="0" applyFont="1" applyFill="1" applyBorder="1" applyAlignment="1"/>
    <xf numFmtId="0" fontId="1" fillId="5" borderId="5" xfId="0" applyFont="1" applyFill="1" applyBorder="1" applyAlignment="1"/>
    <xf numFmtId="0" fontId="1" fillId="7" borderId="4" xfId="0" applyFont="1" applyFill="1" applyBorder="1" applyAlignment="1"/>
    <xf numFmtId="0" fontId="1" fillId="7" borderId="5" xfId="0" applyFont="1" applyFill="1" applyBorder="1" applyAlignment="1"/>
    <xf numFmtId="0" fontId="1" fillId="0" borderId="4" xfId="0" applyFont="1" applyBorder="1" applyAlignment="1"/>
    <xf numFmtId="0" fontId="1" fillId="0" borderId="5" xfId="0" applyFont="1" applyBorder="1" applyAlignment="1"/>
    <xf numFmtId="0" fontId="8" fillId="0" borderId="0" xfId="0" applyFont="1" applyAlignment="1">
      <alignment horizontal="center" vertical="center"/>
    </xf>
    <xf numFmtId="0" fontId="5" fillId="0" borderId="0" xfId="0" applyFont="1" applyAlignment="1"/>
    <xf numFmtId="0" fontId="9" fillId="9" borderId="0" xfId="0" applyFont="1" applyFill="1" applyAlignment="1"/>
    <xf numFmtId="0" fontId="9" fillId="9" borderId="6" xfId="0" applyFont="1" applyFill="1" applyBorder="1" applyAlignment="1"/>
    <xf numFmtId="0" fontId="6" fillId="0" borderId="0" xfId="0" applyFont="1" applyAlignment="1"/>
    <xf numFmtId="0" fontId="10" fillId="0" borderId="0" xfId="0" applyFont="1" applyAlignment="1"/>
    <xf numFmtId="0" fontId="11" fillId="6" borderId="7" xfId="0" applyFont="1" applyFill="1" applyBorder="1" applyAlignment="1"/>
    <xf numFmtId="0" fontId="11" fillId="6" borderId="6" xfId="0" applyFont="1" applyFill="1" applyBorder="1" applyAlignment="1"/>
    <xf numFmtId="0" fontId="1" fillId="6" borderId="8" xfId="0" applyFont="1" applyFill="1" applyBorder="1" applyAlignment="1"/>
    <xf numFmtId="0" fontId="1" fillId="6" borderId="9" xfId="0" applyFont="1" applyFill="1" applyBorder="1" applyAlignment="1"/>
    <xf numFmtId="0" fontId="11" fillId="6" borderId="9" xfId="0" applyFont="1" applyFill="1" applyBorder="1" applyAlignment="1"/>
    <xf numFmtId="0" fontId="11" fillId="0" borderId="10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8" xfId="0" applyFont="1" applyBorder="1" applyAlignment="1"/>
    <xf numFmtId="0" fontId="1" fillId="0" borderId="9" xfId="0" applyFont="1" applyBorder="1" applyAlignment="1"/>
    <xf numFmtId="0" fontId="1" fillId="0" borderId="10" xfId="0" applyFont="1" applyBorder="1" applyAlignment="1">
      <alignment wrapText="1"/>
    </xf>
    <xf numFmtId="0" fontId="1" fillId="0" borderId="11" xfId="0" applyFont="1" applyBorder="1" applyAlignment="1"/>
    <xf numFmtId="0" fontId="1" fillId="0" borderId="12" xfId="0" applyFont="1" applyBorder="1" applyAlignment="1"/>
    <xf numFmtId="0" fontId="1" fillId="0" borderId="13" xfId="0" applyFont="1" applyBorder="1" applyAlignment="1">
      <alignment wrapText="1"/>
    </xf>
    <xf numFmtId="0" fontId="5" fillId="0" borderId="8" xfId="0" applyFont="1" applyBorder="1" applyAlignment="1"/>
    <xf numFmtId="0" fontId="5" fillId="6" borderId="8" xfId="0" applyFont="1" applyFill="1" applyBorder="1" applyAlignment="1"/>
    <xf numFmtId="0" fontId="1" fillId="0" borderId="9" xfId="0" applyFont="1" applyBorder="1" applyAlignment="1">
      <alignment wrapText="1"/>
    </xf>
    <xf numFmtId="0" fontId="1" fillId="0" borderId="0" xfId="0" applyFont="1" applyAlignment="1">
      <alignment wrapText="1"/>
    </xf>
    <xf numFmtId="0" fontId="5" fillId="0" borderId="6" xfId="0" applyFont="1" applyBorder="1" applyAlignment="1"/>
    <xf numFmtId="0" fontId="1" fillId="0" borderId="6" xfId="0" applyFont="1" applyBorder="1" applyAlignment="1"/>
    <xf numFmtId="0" fontId="11" fillId="0" borderId="8" xfId="0" applyFont="1" applyBorder="1" applyAlignment="1">
      <alignment horizontal="center" vertical="center" wrapText="1"/>
    </xf>
    <xf numFmtId="0" fontId="8" fillId="0" borderId="9" xfId="0" applyFont="1" applyBorder="1" applyAlignment="1"/>
    <xf numFmtId="0" fontId="11" fillId="0" borderId="0" xfId="0" applyFont="1" applyAlignment="1">
      <alignment wrapText="1"/>
    </xf>
    <xf numFmtId="0" fontId="11" fillId="0" borderId="0" xfId="0" applyFont="1" applyAlignment="1"/>
    <xf numFmtId="0" fontId="11" fillId="0" borderId="14" xfId="0" applyFont="1" applyBorder="1" applyAlignment="1">
      <alignment vertical="center" wrapText="1"/>
    </xf>
    <xf numFmtId="0" fontId="8" fillId="0" borderId="15" xfId="0" applyFont="1" applyBorder="1" applyAlignment="1"/>
    <xf numFmtId="0" fontId="8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2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11" fillId="8" borderId="0" xfId="0" applyFont="1" applyFill="1" applyAlignment="1">
      <alignment horizontal="left"/>
    </xf>
    <xf numFmtId="0" fontId="11" fillId="8" borderId="0" xfId="0" applyFont="1" applyFill="1" applyAlignment="1">
      <alignment horizontal="right"/>
    </xf>
    <xf numFmtId="0" fontId="8" fillId="8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5" fillId="0" borderId="0" xfId="0" applyFont="1" applyAlignment="1">
      <alignment vertical="center" wrapText="1"/>
    </xf>
    <xf numFmtId="0" fontId="8" fillId="10" borderId="0" xfId="0" applyFont="1" applyFill="1" applyAlignment="1">
      <alignment horizontal="center" vertical="center"/>
    </xf>
    <xf numFmtId="0" fontId="8" fillId="11" borderId="0" xfId="0" applyFont="1" applyFill="1">
      <alignment vertical="center"/>
    </xf>
    <xf numFmtId="0" fontId="5" fillId="0" borderId="10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13" xfId="0" applyFont="1" applyBorder="1" applyAlignment="1">
      <alignment wrapText="1"/>
    </xf>
    <xf numFmtId="0" fontId="8" fillId="6" borderId="7" xfId="0" applyFont="1" applyFill="1" applyBorder="1" applyAlignment="1">
      <alignment wrapText="1"/>
    </xf>
    <xf numFmtId="0" fontId="5" fillId="6" borderId="8" xfId="0" applyFont="1" applyFill="1" applyBorder="1" applyAlignment="1">
      <alignment wrapText="1"/>
    </xf>
    <xf numFmtId="0" fontId="8" fillId="0" borderId="8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5" fillId="0" borderId="16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10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表格7" displayName="表格7" ref="A2:N44">
  <autoFilter ref="A2:N44" xr:uid="{00000000-0009-0000-0100-000002000000}"/>
  <tableColumns count="14">
    <tableColumn id="13" xr3:uid="{00000000-0010-0000-0000-00000D000000}" name="日期"/>
    <tableColumn id="1" xr3:uid="{00000000-0010-0000-0000-000001000000}" name="球員"/>
    <tableColumn id="12" xr3:uid="{00000000-0010-0000-0000-00000C000000}" name="球員ID"/>
    <tableColumn id="8" xr3:uid="{00000000-0010-0000-0000-000008000000}" name="分類"/>
    <tableColumn id="2" xr3:uid="{00000000-0010-0000-0000-000002000000}" name="層級"/>
    <tableColumn id="3" xr3:uid="{00000000-0010-0000-0000-000003000000}" name="守位"/>
    <tableColumn id="4" xr3:uid="{00000000-0010-0000-0000-000004000000}" name="球隊"/>
    <tableColumn id="5" xr3:uid="{00000000-0010-0000-0000-000005000000}" name="是否先發/前次出賽"/>
    <tableColumn id="6" xr3:uid="{00000000-0010-0000-0000-000006000000}" name="對手"/>
    <tableColumn id="7" xr3:uid="{00000000-0010-0000-0000-000007000000}" name="成績"/>
    <tableColumn id="14" xr3:uid="{00000000-0010-0000-0000-00000E000000}" name="1備註"/>
    <tableColumn id="11" xr3:uid="{00000000-0010-0000-0000-00000B000000}" name="排序欄1"/>
    <tableColumn id="10" xr3:uid="{00000000-0010-0000-0000-00000A000000}" name="排序欄2"/>
    <tableColumn id="9" xr3:uid="{00000000-0010-0000-0000-000009000000}" name="排序欄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abSelected="1" topLeftCell="A3" workbookViewId="0">
      <selection activeCell="B6" sqref="B6"/>
    </sheetView>
  </sheetViews>
  <sheetFormatPr defaultRowHeight="16.5"/>
  <cols>
    <col min="1" max="1" width="14" style="25" customWidth="1"/>
    <col min="2" max="2" width="57.125" style="25" bestFit="1" customWidth="1"/>
    <col min="3" max="8" width="8" style="25" customWidth="1"/>
    <col min="9" max="9" width="14" style="25" customWidth="1"/>
    <col min="10" max="10" width="10" style="25" customWidth="1"/>
    <col min="11" max="16384" width="9" style="25"/>
  </cols>
  <sheetData>
    <row r="1" spans="1:26" ht="19.5">
      <c r="A1" s="26" t="s">
        <v>0</v>
      </c>
      <c r="B1" s="27"/>
      <c r="C1" s="27"/>
      <c r="D1" s="27"/>
      <c r="E1" s="27"/>
      <c r="F1" s="27"/>
      <c r="G1" s="27"/>
      <c r="H1" s="26"/>
      <c r="I1" s="26"/>
      <c r="J1" s="26"/>
      <c r="K1" s="28"/>
      <c r="L1" s="28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>
      <c r="A2" s="30" t="s">
        <v>1</v>
      </c>
      <c r="B2" s="31"/>
      <c r="C2" s="32"/>
      <c r="D2" s="32"/>
      <c r="E2" s="32"/>
      <c r="F2" s="32"/>
      <c r="G2" s="33"/>
      <c r="H2" s="1"/>
      <c r="I2" s="30" t="s">
        <v>2</v>
      </c>
      <c r="J2" s="34"/>
      <c r="K2" s="28"/>
      <c r="L2" s="28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>
      <c r="A3" s="35" t="s">
        <v>3</v>
      </c>
      <c r="B3" s="36" t="s">
        <v>4</v>
      </c>
      <c r="C3" s="37"/>
      <c r="D3" s="37"/>
      <c r="E3" s="37"/>
      <c r="F3" s="38"/>
      <c r="G3" s="39"/>
      <c r="H3" s="1"/>
      <c r="I3" s="40" t="s">
        <v>104</v>
      </c>
      <c r="J3" s="41">
        <v>3</v>
      </c>
      <c r="K3" s="28"/>
      <c r="L3" s="28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>
      <c r="A4" s="74" t="s">
        <v>28</v>
      </c>
      <c r="B4" s="75" t="s">
        <v>30</v>
      </c>
      <c r="D4" s="1"/>
      <c r="E4" s="1"/>
      <c r="F4" s="1"/>
      <c r="G4" s="42"/>
      <c r="H4" s="1"/>
      <c r="I4" s="43" t="s">
        <v>114</v>
      </c>
      <c r="J4" s="41">
        <v>4</v>
      </c>
      <c r="K4" s="28"/>
      <c r="L4" s="28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33">
      <c r="A5" s="74" t="s">
        <v>36</v>
      </c>
      <c r="B5" s="76" t="s">
        <v>37</v>
      </c>
      <c r="C5" s="44"/>
      <c r="D5" s="38"/>
      <c r="E5" s="38"/>
      <c r="F5" s="38"/>
      <c r="G5" s="39"/>
      <c r="H5" s="1"/>
      <c r="I5" s="43" t="s">
        <v>121</v>
      </c>
      <c r="J5" s="41">
        <v>5</v>
      </c>
      <c r="K5" s="28"/>
      <c r="L5" s="28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33">
      <c r="A6" s="74" t="s">
        <v>42</v>
      </c>
      <c r="B6" s="75" t="s">
        <v>43</v>
      </c>
      <c r="D6" s="1"/>
      <c r="E6" s="1"/>
      <c r="F6" s="1"/>
      <c r="G6" s="42"/>
      <c r="H6" s="1"/>
      <c r="I6" s="43" t="s">
        <v>297</v>
      </c>
      <c r="J6" s="41">
        <v>3</v>
      </c>
      <c r="K6" s="28"/>
      <c r="L6" s="28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>
      <c r="A7" s="74"/>
      <c r="B7" s="76"/>
      <c r="C7" s="44"/>
      <c r="D7" s="38"/>
      <c r="E7" s="38"/>
      <c r="F7" s="38"/>
      <c r="G7" s="39"/>
      <c r="H7" s="1"/>
      <c r="I7" s="43" t="s">
        <v>141</v>
      </c>
      <c r="J7" s="41">
        <v>5</v>
      </c>
      <c r="K7" s="28"/>
      <c r="L7" s="28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>
      <c r="A8" s="74"/>
      <c r="B8" s="75"/>
      <c r="D8" s="1"/>
      <c r="E8" s="1"/>
      <c r="F8" s="1"/>
      <c r="G8" s="42"/>
      <c r="H8" s="1"/>
      <c r="I8" s="43" t="s">
        <v>298</v>
      </c>
      <c r="J8" s="41">
        <v>6</v>
      </c>
      <c r="K8" s="28"/>
      <c r="L8" s="28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>
      <c r="A9" s="77"/>
      <c r="B9" s="76"/>
      <c r="C9" s="44"/>
      <c r="D9" s="38"/>
      <c r="E9" s="38"/>
      <c r="F9" s="38"/>
      <c r="G9" s="39"/>
      <c r="H9" s="1"/>
      <c r="I9" s="43" t="s">
        <v>176</v>
      </c>
      <c r="J9" s="41">
        <v>2</v>
      </c>
      <c r="K9" s="28"/>
      <c r="L9" s="28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>
      <c r="A10" s="78" t="s">
        <v>5</v>
      </c>
      <c r="B10" s="79"/>
      <c r="C10" s="45"/>
      <c r="D10" s="32"/>
      <c r="E10" s="32"/>
      <c r="F10" s="32"/>
      <c r="G10" s="33"/>
      <c r="H10" s="1"/>
      <c r="I10" s="43" t="s">
        <v>183</v>
      </c>
      <c r="J10" s="41">
        <v>11</v>
      </c>
      <c r="K10" s="28"/>
      <c r="L10" s="28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>
      <c r="A11" s="35" t="s">
        <v>3</v>
      </c>
      <c r="B11" s="80" t="s">
        <v>4</v>
      </c>
      <c r="C11" s="44"/>
      <c r="D11" s="37"/>
      <c r="E11" s="37"/>
      <c r="F11" s="38"/>
      <c r="G11" s="39"/>
      <c r="H11" s="1"/>
      <c r="I11" s="43" t="s">
        <v>299</v>
      </c>
      <c r="J11" s="41">
        <v>1</v>
      </c>
      <c r="K11" s="28"/>
      <c r="L11" s="28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>
      <c r="A12" s="74" t="s">
        <v>67</v>
      </c>
      <c r="B12" s="75" t="s">
        <v>68</v>
      </c>
      <c r="D12" s="1"/>
      <c r="E12" s="1"/>
      <c r="F12" s="1"/>
      <c r="G12" s="42"/>
      <c r="H12" s="1"/>
      <c r="I12" s="43" t="s">
        <v>300</v>
      </c>
      <c r="J12" s="41">
        <v>40</v>
      </c>
      <c r="K12" s="28"/>
      <c r="L12" s="28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ht="33">
      <c r="A13" s="74" t="s">
        <v>76</v>
      </c>
      <c r="B13" s="76" t="s">
        <v>77</v>
      </c>
      <c r="C13" s="44"/>
      <c r="D13" s="38"/>
      <c r="E13" s="38"/>
      <c r="F13" s="38"/>
      <c r="G13" s="46"/>
      <c r="H13" s="47"/>
      <c r="I13" s="1"/>
      <c r="J13" s="1"/>
      <c r="K13" s="28"/>
      <c r="L13" s="28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>
      <c r="A14" s="74" t="s">
        <v>78</v>
      </c>
      <c r="B14" s="75" t="s">
        <v>79</v>
      </c>
      <c r="D14" s="1"/>
      <c r="E14" s="1"/>
      <c r="F14" s="1"/>
      <c r="G14" s="42"/>
      <c r="H14" s="47"/>
      <c r="I14" s="1"/>
      <c r="J14" s="1"/>
      <c r="K14" s="28"/>
      <c r="L14" s="28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>
      <c r="A15" s="74" t="s">
        <v>69</v>
      </c>
      <c r="B15" s="76" t="s">
        <v>70</v>
      </c>
      <c r="C15" s="44"/>
      <c r="D15" s="38"/>
      <c r="E15" s="38"/>
      <c r="F15" s="38"/>
      <c r="G15" s="39"/>
      <c r="H15" s="1"/>
      <c r="I15" s="1"/>
      <c r="J15" s="1"/>
      <c r="K15" s="28"/>
      <c r="L15" s="28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33">
      <c r="A16" s="74" t="s">
        <v>81</v>
      </c>
      <c r="B16" s="75" t="s">
        <v>82</v>
      </c>
      <c r="D16" s="1"/>
      <c r="E16" s="1"/>
      <c r="F16" s="1"/>
      <c r="G16" s="42"/>
      <c r="H16" s="1"/>
      <c r="I16" s="1"/>
      <c r="J16" s="1"/>
      <c r="K16" s="28"/>
      <c r="L16" s="28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>
      <c r="A17" s="74"/>
      <c r="B17" s="76"/>
      <c r="C17" s="44"/>
      <c r="D17" s="38"/>
      <c r="E17" s="38"/>
      <c r="F17" s="38"/>
      <c r="G17" s="39"/>
      <c r="H17" s="1"/>
      <c r="I17" s="1"/>
      <c r="J17" s="1"/>
      <c r="K17" s="28"/>
      <c r="L17" s="28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>
      <c r="A18" s="77"/>
      <c r="B18" s="81"/>
      <c r="C18" s="48"/>
      <c r="D18" s="49"/>
      <c r="E18" s="38"/>
      <c r="F18" s="38"/>
      <c r="G18" s="39"/>
      <c r="H18" s="1"/>
      <c r="I18" s="1"/>
      <c r="J18" s="1"/>
      <c r="K18" s="28"/>
      <c r="L18" s="28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>
      <c r="A19" s="50" t="s">
        <v>6</v>
      </c>
      <c r="B19" s="50"/>
      <c r="C19" s="51"/>
      <c r="E19" s="52"/>
      <c r="F19" s="52"/>
      <c r="G19" s="53"/>
      <c r="H19" s="53"/>
      <c r="I19" s="1"/>
      <c r="J19" s="1"/>
      <c r="K19" s="28"/>
      <c r="L19" s="28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>
      <c r="A20" s="54" t="s">
        <v>7</v>
      </c>
      <c r="B20" s="54" t="s">
        <v>8</v>
      </c>
      <c r="C20" s="55" t="s">
        <v>9</v>
      </c>
      <c r="D20" s="56"/>
      <c r="E20" s="52"/>
      <c r="F20" s="52"/>
      <c r="G20" s="56"/>
      <c r="H20" s="53"/>
      <c r="I20" s="1"/>
      <c r="J20" s="1"/>
      <c r="K20" s="28"/>
      <c r="L20" s="28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49.5">
      <c r="A21" s="74" t="s">
        <v>38</v>
      </c>
      <c r="B21" s="74" t="s">
        <v>301</v>
      </c>
      <c r="C21" s="82" t="s">
        <v>302</v>
      </c>
      <c r="D21" s="1"/>
      <c r="E21" s="1"/>
      <c r="F21" s="1"/>
      <c r="G21" s="1"/>
      <c r="H21" s="1"/>
      <c r="I21" s="1"/>
      <c r="J21" s="1"/>
      <c r="K21" s="28"/>
      <c r="L21" s="28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49.5">
      <c r="A22" s="83" t="s">
        <v>44</v>
      </c>
      <c r="B22" s="83" t="s">
        <v>301</v>
      </c>
      <c r="C22" s="84" t="s">
        <v>302</v>
      </c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>
      <c r="A23" s="74"/>
      <c r="B23" s="74"/>
      <c r="C23" s="82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>
      <c r="A24" s="74"/>
      <c r="B24" s="74"/>
      <c r="C24" s="82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>
      <c r="A25" s="77"/>
      <c r="B25" s="77"/>
      <c r="C25" s="85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>
      <c r="A26" s="86"/>
      <c r="B26" s="86"/>
      <c r="C26" s="86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>
      <c r="A27" s="86"/>
      <c r="B27" s="86"/>
      <c r="C27" s="86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>
      <c r="A28" s="86"/>
      <c r="B28" s="86"/>
      <c r="C28" s="86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>
      <c r="A29" s="86"/>
      <c r="B29" s="86"/>
      <c r="C29" s="86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>
      <c r="A30" s="86"/>
      <c r="B30" s="86"/>
      <c r="C30" s="86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>
      <c r="A31" s="86"/>
      <c r="B31" s="86"/>
      <c r="C31" s="86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>
      <c r="A32" s="86"/>
      <c r="B32" s="86"/>
      <c r="C32" s="86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>
      <c r="A33" s="86"/>
      <c r="B33" s="86"/>
      <c r="C33" s="86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>
      <c r="A34" s="86"/>
      <c r="B34" s="86"/>
      <c r="C34" s="86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>
      <c r="A35" s="86"/>
      <c r="B35" s="86"/>
      <c r="C35" s="86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00"/>
  <sheetViews>
    <sheetView topLeftCell="A33" workbookViewId="0"/>
  </sheetViews>
  <sheetFormatPr defaultRowHeight="16.5"/>
  <cols>
    <col min="1" max="1" width="14.75" style="25" customWidth="1"/>
    <col min="2" max="2" width="15.625" style="25" customWidth="1"/>
    <col min="3" max="3" width="13.875" style="25" customWidth="1"/>
    <col min="4" max="4" width="8" style="25" customWidth="1"/>
    <col min="5" max="5" width="16.75" style="25" customWidth="1"/>
    <col min="6" max="6" width="11.625" style="25" customWidth="1"/>
    <col min="7" max="8" width="22.875" style="25" customWidth="1"/>
    <col min="9" max="9" width="8" style="25" customWidth="1"/>
    <col min="10" max="10" width="76" style="25" customWidth="1"/>
    <col min="11" max="11" width="9.125" style="25" customWidth="1"/>
    <col min="12" max="12" width="9.25" style="25" customWidth="1"/>
    <col min="13" max="13" width="9.25" style="61" customWidth="1"/>
    <col min="14" max="15" width="11.25" style="25" customWidth="1"/>
    <col min="16" max="17" width="11.625" style="25" customWidth="1"/>
    <col min="18" max="16384" width="9" style="25"/>
  </cols>
  <sheetData>
    <row r="1" spans="1:29" ht="19.5">
      <c r="A1" s="57" t="s">
        <v>10</v>
      </c>
      <c r="B1" s="57"/>
      <c r="C1" s="57"/>
      <c r="D1" s="57"/>
      <c r="E1" s="57"/>
      <c r="F1" s="57"/>
      <c r="G1" s="57"/>
      <c r="H1" s="58"/>
      <c r="I1" s="59"/>
      <c r="J1" s="59"/>
      <c r="K1" s="59"/>
      <c r="L1" s="58"/>
      <c r="M1" s="58"/>
      <c r="N1" s="58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spans="1:29" s="60" customFormat="1">
      <c r="A2" s="62" t="s">
        <v>11</v>
      </c>
      <c r="B2" s="62" t="s">
        <v>7</v>
      </c>
      <c r="C2" s="62" t="s">
        <v>12</v>
      </c>
      <c r="D2" s="62" t="s">
        <v>13</v>
      </c>
      <c r="E2" s="62" t="s">
        <v>14</v>
      </c>
      <c r="F2" s="62" t="s">
        <v>15</v>
      </c>
      <c r="G2" s="62" t="s">
        <v>16</v>
      </c>
      <c r="H2" s="62" t="s">
        <v>17</v>
      </c>
      <c r="I2" s="62" t="s">
        <v>18</v>
      </c>
      <c r="J2" s="62" t="s">
        <v>19</v>
      </c>
      <c r="K2" s="62" t="s">
        <v>20</v>
      </c>
      <c r="L2" s="63" t="s">
        <v>21</v>
      </c>
      <c r="M2" s="63" t="s">
        <v>22</v>
      </c>
      <c r="N2" s="62" t="s">
        <v>23</v>
      </c>
      <c r="O2" s="64" t="s">
        <v>24</v>
      </c>
      <c r="P2" s="64" t="s">
        <v>25</v>
      </c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 spans="1:29" s="60" customFormat="1">
      <c r="A3" s="65"/>
      <c r="C3" s="65"/>
      <c r="D3" s="65"/>
      <c r="E3" s="65"/>
      <c r="F3" s="65"/>
      <c r="G3" s="65"/>
      <c r="H3" s="65"/>
      <c r="I3" s="65"/>
      <c r="J3" s="65"/>
      <c r="K3" s="65"/>
      <c r="L3" s="66"/>
      <c r="M3" s="66"/>
      <c r="N3" s="66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 spans="1:29">
      <c r="A4" s="2"/>
      <c r="B4" s="2" t="s">
        <v>26</v>
      </c>
      <c r="C4" s="2" t="s">
        <v>108</v>
      </c>
      <c r="D4" s="2" t="s">
        <v>102</v>
      </c>
      <c r="E4" s="2" t="s">
        <v>104</v>
      </c>
      <c r="F4" s="67" t="s">
        <v>1</v>
      </c>
      <c r="G4" s="2" t="s">
        <v>109</v>
      </c>
      <c r="H4" s="68" t="s">
        <v>27</v>
      </c>
      <c r="I4" s="1"/>
      <c r="J4" s="1"/>
      <c r="K4" s="1"/>
      <c r="L4" s="66">
        <f t="shared" ref="L4:L31" si="0">IF($B4="投手",1,IF($F4="投手",2,IF($B4="野手",3,IF(OR($F4="野手",$F4="內野手",$F4="外野手",$F4="捕手"),4,99))))</f>
        <v>2</v>
      </c>
      <c r="M4" s="66">
        <f t="array" ref="M4">IF($D4="旅美",1,IF($D4="旅日",2,IF($D4="旅韓",3,IF($D4="台裔",4,IF($D4&lt;&gt;"",5,99)))))</f>
        <v>1</v>
      </c>
      <c r="N4" s="1">
        <f t="array" ref="N4">IF($E4="MLB",1,IF($E4="3A",2,IF($E4="2A",3,IF(OR($E4="A+",$E4="高A"),4,IF($E4="1A",5,IF(OR($E4="RK",$E4="Rookie"),6,IF($E4="日職一軍",7,IF($E4="日職二軍",8,IF(OR($E4="韓職一軍",$E4="KBO"),9,IF($E4&lt;&gt;"",10,99))))))))))</f>
        <v>1</v>
      </c>
      <c r="O4" s="25" t="str">
        <f>IF(AND($F4="投手",LEFT($H4,3)="YES",OR($E4="MLB",$E4="3A",$E4="2A",$E4="日職一軍",$E4="韓職一軍",$E4="KBO")),COUNT($O$3:O3)+1,"")</f>
        <v/>
      </c>
      <c r="P4" s="25" t="str">
        <f>IF(AND($F4&lt;&gt;"投手",$F4&lt;&gt;"",LEFT($H4,3)="YES",OR($E4="MLB",$E4="3A",$E4="2A",$E4="日職一軍",$E4="韓職一軍",$E4="KBO")),COUNT($P$3:P3)+1,"")</f>
        <v/>
      </c>
      <c r="Q4" s="60"/>
      <c r="R4" s="60"/>
      <c r="S4" s="60"/>
    </row>
    <row r="5" spans="1:29">
      <c r="A5" s="2"/>
      <c r="B5" s="2" t="s">
        <v>28</v>
      </c>
      <c r="C5" s="2" t="s">
        <v>111</v>
      </c>
      <c r="D5" s="2" t="s">
        <v>102</v>
      </c>
      <c r="E5" s="2" t="s">
        <v>114</v>
      </c>
      <c r="F5" s="67" t="s">
        <v>1</v>
      </c>
      <c r="G5" s="2" t="s">
        <v>113</v>
      </c>
      <c r="H5" s="68" t="s">
        <v>29</v>
      </c>
      <c r="I5" s="1"/>
      <c r="J5" s="1" t="s">
        <v>30</v>
      </c>
      <c r="K5" s="1"/>
      <c r="L5" s="66">
        <f t="shared" si="0"/>
        <v>2</v>
      </c>
      <c r="M5" s="66">
        <f t="array" ref="M5">IF($D5="旅美",1,IF($D5="旅日",2,IF($D5="旅韓",3,IF($D5="台裔",4,IF($D5&lt;&gt;"",5,99)))))</f>
        <v>1</v>
      </c>
      <c r="N5" s="1">
        <f t="array" ref="N5">IF($E5="MLB",1,IF($E5="3A",2,IF($E5="2A",3,IF(OR($E5="A+",$E5="高A"),4,IF($E5="1A",5,IF(OR($E5="RK",$E5="Rookie"),6,IF($E5="日職一軍",7,IF($E5="日職二軍",8,IF(OR($E5="韓職一軍",$E5="KBO"),9,IF($E5&lt;&gt;"",10,99))))))))))</f>
        <v>2</v>
      </c>
      <c r="O5" s="25">
        <f>IF(AND($F5="投手",LEFT($H5,3)="YES",OR($E5="MLB",$E5="3A",$E5="2A",$E5="日職一軍",$E5="韓職一軍",$E5="KBO")),COUNT($O$3:O4)+1,"")</f>
        <v>1</v>
      </c>
      <c r="P5" s="25" t="str">
        <f>IF(AND($F5&lt;&gt;"投手",$F5&lt;&gt;"",LEFT($H5,3)="YES",OR($E5="MLB",$E5="3A",$E5="2A",$E5="日職一軍",$E5="韓職一軍",$E5="KBO")),COUNT($P$3:P4)+1,"")</f>
        <v/>
      </c>
      <c r="Q5" s="60"/>
      <c r="R5" s="60"/>
      <c r="S5" s="60"/>
    </row>
    <row r="6" spans="1:29">
      <c r="A6" s="2"/>
      <c r="B6" s="2" t="s">
        <v>31</v>
      </c>
      <c r="C6" s="2" t="s">
        <v>119</v>
      </c>
      <c r="D6" s="2" t="s">
        <v>102</v>
      </c>
      <c r="E6" s="2" t="s">
        <v>121</v>
      </c>
      <c r="F6" s="67" t="s">
        <v>1</v>
      </c>
      <c r="G6" s="2" t="s">
        <v>120</v>
      </c>
      <c r="H6" s="68" t="s">
        <v>32</v>
      </c>
      <c r="I6" s="1"/>
      <c r="L6" s="66">
        <f t="shared" si="0"/>
        <v>2</v>
      </c>
      <c r="M6" s="66">
        <f t="array" ref="M6">IF($D6="旅美",1,IF($D6="旅日",2,IF($D6="旅韓",3,IF($D6="台裔",4,IF($D6&lt;&gt;"",5,99)))))</f>
        <v>1</v>
      </c>
      <c r="N6" s="1">
        <f t="array" ref="N6">IF($E6="MLB",1,IF($E6="3A",2,IF($E6="2A",3,IF(OR($E6="A+",$E6="高A"),4,IF($E6="1A",5,IF(OR($E6="RK",$E6="Rookie"),6,IF($E6="日職一軍",7,IF($E6="日職二軍",8,IF(OR($E6="韓職一軍",$E6="KBO"),9,IF($E6&lt;&gt;"",10,99))))))))))</f>
        <v>3</v>
      </c>
      <c r="O6" s="25" t="str">
        <f>IF(AND($F6="投手",LEFT($H6,3)="YES",OR($E6="MLB",$E6="3A",$E6="2A",$E6="日職一軍",$E6="韓職一軍",$E6="KBO")),COUNT($O$3:O5)+1,"")</f>
        <v/>
      </c>
      <c r="P6" s="25" t="str">
        <f>IF(AND($F6&lt;&gt;"投手",$F6&lt;&gt;"",LEFT($H6,3)="YES",OR($E6="MLB",$E6="3A",$E6="2A",$E6="日職一軍",$E6="韓職一軍",$E6="KBO")),COUNT($P$3:P5)+1,"")</f>
        <v/>
      </c>
      <c r="Q6" s="60"/>
      <c r="R6" s="60"/>
      <c r="S6" s="60"/>
    </row>
    <row r="7" spans="1:29">
      <c r="A7" s="2"/>
      <c r="B7" s="2" t="s">
        <v>33</v>
      </c>
      <c r="C7" s="2" t="s">
        <v>126</v>
      </c>
      <c r="D7" s="2" t="s">
        <v>102</v>
      </c>
      <c r="E7" s="2" t="s">
        <v>121</v>
      </c>
      <c r="F7" s="67" t="s">
        <v>1</v>
      </c>
      <c r="G7" s="2" t="s">
        <v>124</v>
      </c>
      <c r="H7" s="68" t="s">
        <v>32</v>
      </c>
      <c r="I7" s="1"/>
      <c r="J7" s="1"/>
      <c r="K7" s="1"/>
      <c r="L7" s="66">
        <f t="shared" si="0"/>
        <v>2</v>
      </c>
      <c r="M7" s="66">
        <f t="array" ref="M7">IF($D7="旅美",1,IF($D7="旅日",2,IF($D7="旅韓",3,IF($D7="台裔",4,IF($D7&lt;&gt;"",5,99)))))</f>
        <v>1</v>
      </c>
      <c r="N7" s="1">
        <f t="array" ref="N7">IF($E7="MLB",1,IF($E7="3A",2,IF($E7="2A",3,IF(OR($E7="A+",$E7="高A"),4,IF($E7="1A",5,IF(OR($E7="RK",$E7="Rookie"),6,IF($E7="日職一軍",7,IF($E7="日職二軍",8,IF(OR($E7="韓職一軍",$E7="KBO"),9,IF($E7&lt;&gt;"",10,99))))))))))</f>
        <v>3</v>
      </c>
      <c r="O7" s="25" t="str">
        <f>IF(AND($F7="投手",LEFT($H7,3)="YES",OR($E7="MLB",$E7="3A",$E7="2A",$E7="日職一軍",$E7="韓職一軍",$E7="KBO")),COUNT($O$3:O6)+1,"")</f>
        <v/>
      </c>
      <c r="P7" s="25" t="str">
        <f>IF(AND($F7&lt;&gt;"投手",$F7&lt;&gt;"",LEFT($H7,3)="YES",OR($E7="MLB",$E7="3A",$E7="2A",$E7="日職一軍",$E7="韓職一軍",$E7="KBO")),COUNT($P$3:P6)+1,"")</f>
        <v/>
      </c>
      <c r="Q7" s="60"/>
      <c r="R7" s="60"/>
      <c r="S7" s="60"/>
    </row>
    <row r="8" spans="1:29">
      <c r="A8" s="2"/>
      <c r="B8" s="2" t="s">
        <v>34</v>
      </c>
      <c r="C8" s="2" t="s">
        <v>123</v>
      </c>
      <c r="D8" s="2" t="s">
        <v>102</v>
      </c>
      <c r="E8" s="2" t="s">
        <v>121</v>
      </c>
      <c r="F8" s="67" t="s">
        <v>1</v>
      </c>
      <c r="G8" s="2" t="s">
        <v>124</v>
      </c>
      <c r="H8" s="68" t="s">
        <v>35</v>
      </c>
      <c r="I8" s="1"/>
      <c r="J8" s="1"/>
      <c r="K8" s="1"/>
      <c r="L8" s="66">
        <f t="shared" si="0"/>
        <v>2</v>
      </c>
      <c r="M8" s="66">
        <f t="array" ref="M8">IF($D8="旅美",1,IF($D8="旅日",2,IF($D8="旅韓",3,IF($D8="台裔",4,IF($D8&lt;&gt;"",5,99)))))</f>
        <v>1</v>
      </c>
      <c r="N8" s="1">
        <f t="array" ref="N8">IF($E8="MLB",1,IF($E8="3A",2,IF($E8="2A",3,IF(OR($E8="A+",$E8="高A"),4,IF($E8="1A",5,IF(OR($E8="RK",$E8="Rookie"),6,IF($E8="日職一軍",7,IF($E8="日職二軍",8,IF(OR($E8="韓職一軍",$E8="KBO"),9,IF($E8&lt;&gt;"",10,99))))))))))</f>
        <v>3</v>
      </c>
      <c r="O8" s="25" t="str">
        <f>IF(AND($F8="投手",LEFT($H8,3)="YES",OR($E8="MLB",$E8="3A",$E8="2A",$E8="日職一軍",$E8="韓職一軍",$E8="KBO")),COUNT($O$3:O7)+1,"")</f>
        <v/>
      </c>
      <c r="P8" s="25" t="str">
        <f>IF(AND($F8&lt;&gt;"投手",$F8&lt;&gt;"",LEFT($H8,3)="YES",OR($E8="MLB",$E8="3A",$E8="2A",$E8="日職一軍",$E8="韓職一軍",$E8="KBO")),COUNT($P$3:P7)+1,"")</f>
        <v/>
      </c>
      <c r="Q8" s="60"/>
      <c r="R8" s="60"/>
      <c r="S8" s="60"/>
    </row>
    <row r="9" spans="1:29">
      <c r="A9" s="2"/>
      <c r="B9" s="2" t="s">
        <v>36</v>
      </c>
      <c r="C9" s="2" t="s">
        <v>128</v>
      </c>
      <c r="D9" s="2" t="s">
        <v>102</v>
      </c>
      <c r="E9" s="2" t="s">
        <v>121</v>
      </c>
      <c r="F9" s="67" t="s">
        <v>1</v>
      </c>
      <c r="G9" s="2" t="s">
        <v>129</v>
      </c>
      <c r="H9" s="68" t="s">
        <v>29</v>
      </c>
      <c r="I9" s="1"/>
      <c r="J9" s="1" t="s">
        <v>37</v>
      </c>
      <c r="K9" s="1"/>
      <c r="L9" s="66">
        <f t="shared" si="0"/>
        <v>2</v>
      </c>
      <c r="M9" s="66">
        <f t="array" ref="M9">IF($D9="旅美",1,IF($D9="旅日",2,IF($D9="旅韓",3,IF($D9="台裔",4,IF($D9&lt;&gt;"",5,99)))))</f>
        <v>1</v>
      </c>
      <c r="N9" s="1">
        <f t="array" ref="N9">IF($E9="MLB",1,IF($E9="3A",2,IF($E9="2A",3,IF(OR($E9="A+",$E9="高A"),4,IF($E9="1A",5,IF(OR($E9="RK",$E9="Rookie"),6,IF($E9="日職一軍",7,IF($E9="日職二軍",8,IF(OR($E9="韓職一軍",$E9="KBO"),9,IF($E9&lt;&gt;"",10,99))))))))))</f>
        <v>3</v>
      </c>
      <c r="O9" s="25">
        <f>IF(AND($F9="投手",LEFT($H9,3)="YES",OR($E9="MLB",$E9="3A",$E9="2A",$E9="日職一軍",$E9="韓職一軍",$E9="KBO")),COUNT($O$3:O8)+1,"")</f>
        <v>2</v>
      </c>
      <c r="P9" s="25" t="str">
        <f>IF(AND($F9&lt;&gt;"投手",$F9&lt;&gt;"",LEFT($H9,3)="YES",OR($E9="MLB",$E9="3A",$E9="2A",$E9="日職一軍",$E9="韓職一軍",$E9="KBO")),COUNT($P$3:P8)+1,"")</f>
        <v/>
      </c>
      <c r="Q9" s="60"/>
      <c r="R9" s="60"/>
      <c r="S9" s="60"/>
    </row>
    <row r="10" spans="1:29">
      <c r="A10" s="2"/>
      <c r="B10" s="2" t="s">
        <v>38</v>
      </c>
      <c r="C10" s="2" t="s">
        <v>131</v>
      </c>
      <c r="D10" s="2" t="s">
        <v>102</v>
      </c>
      <c r="E10" s="2" t="s">
        <v>121</v>
      </c>
      <c r="F10" s="67" t="s">
        <v>1</v>
      </c>
      <c r="G10" s="2" t="s">
        <v>117</v>
      </c>
      <c r="H10" s="68" t="s">
        <v>39</v>
      </c>
      <c r="I10" s="1"/>
      <c r="J10" s="1"/>
      <c r="K10" s="1"/>
      <c r="L10" s="66">
        <f t="shared" si="0"/>
        <v>2</v>
      </c>
      <c r="M10" s="66">
        <f t="array" ref="M10">IF($D10="旅美",1,IF($D10="旅日",2,IF($D10="旅韓",3,IF($D10="台裔",4,IF($D10&lt;&gt;"",5,99)))))</f>
        <v>1</v>
      </c>
      <c r="N10" s="1">
        <f t="array" ref="N10">IF($E10="MLB",1,IF($E10="3A",2,IF($E10="2A",3,IF(OR($E10="A+",$E10="高A"),4,IF($E10="1A",5,IF(OR($E10="RK",$E10="Rookie"),6,IF($E10="日職一軍",7,IF($E10="日職二軍",8,IF(OR($E10="韓職一軍",$E10="KBO"),9,IF($E10&lt;&gt;"",10,99))))))))))</f>
        <v>3</v>
      </c>
      <c r="O10" s="25" t="str">
        <f>IF(AND($F10="投手",LEFT($H10,3)="YES",OR($E10="MLB",$E10="3A",$E10="2A",$E10="日職一軍",$E10="韓職一軍",$E10="KBO")),COUNT($O$3:O9)+1,"")</f>
        <v/>
      </c>
      <c r="P10" s="25" t="str">
        <f>IF(AND($F10&lt;&gt;"投手",$F10&lt;&gt;"",LEFT($H10,3)="YES",OR($E10="MLB",$E10="3A",$E10="2A",$E10="日職一軍",$E10="韓職一軍",$E10="KBO")),COUNT($P$3:P9)+1,"")</f>
        <v/>
      </c>
      <c r="Q10" s="60"/>
      <c r="R10" s="60"/>
      <c r="S10" s="60"/>
    </row>
    <row r="11" spans="1:29">
      <c r="A11" s="2"/>
      <c r="B11" s="2" t="s">
        <v>40</v>
      </c>
      <c r="C11" s="2" t="s">
        <v>134</v>
      </c>
      <c r="D11" s="2" t="s">
        <v>102</v>
      </c>
      <c r="E11" s="2" t="s">
        <v>135</v>
      </c>
      <c r="F11" s="67" t="s">
        <v>1</v>
      </c>
      <c r="G11" s="2" t="s">
        <v>124</v>
      </c>
      <c r="H11" s="68" t="s">
        <v>41</v>
      </c>
      <c r="I11" s="1"/>
      <c r="J11" s="1"/>
      <c r="K11" s="1"/>
      <c r="L11" s="66">
        <f t="shared" si="0"/>
        <v>2</v>
      </c>
      <c r="M11" s="66">
        <f t="array" ref="M11">IF($D11="旅美",1,IF($D11="旅日",2,IF($D11="旅韓",3,IF($D11="台裔",4,IF($D11&lt;&gt;"",5,99)))))</f>
        <v>1</v>
      </c>
      <c r="N11" s="1">
        <f t="array" ref="N11">IF($E11="MLB",1,IF($E11="3A",2,IF($E11="2A",3,IF(OR($E11="A+",$E11="高A"),4,IF($E11="1A",5,IF(OR($E11="RK",$E11="Rookie"),6,IF($E11="日職一軍",7,IF($E11="日職二軍",8,IF(OR($E11="韓職一軍",$E11="KBO"),9,IF($E11&lt;&gt;"",10,99))))))))))</f>
        <v>4</v>
      </c>
      <c r="O11" s="25" t="str">
        <f>IF(AND($F11="投手",LEFT($H11,3)="YES",OR($E11="MLB",$E11="3A",$E11="2A",$E11="日職一軍",$E11="韓職一軍",$E11="KBO")),COUNT($O$3:O10)+1,"")</f>
        <v/>
      </c>
      <c r="P11" s="25" t="str">
        <f>IF(AND($F11&lt;&gt;"投手",$F11&lt;&gt;"",LEFT($H11,3)="YES",OR($E11="MLB",$E11="3A",$E11="2A",$E11="日職一軍",$E11="韓職一軍",$E11="KBO")),COUNT($P$3:P10)+1,"")</f>
        <v/>
      </c>
      <c r="Q11" s="60"/>
      <c r="R11" s="60"/>
      <c r="S11" s="60"/>
    </row>
    <row r="12" spans="1:29">
      <c r="A12" s="2"/>
      <c r="B12" s="2" t="s">
        <v>42</v>
      </c>
      <c r="C12" s="2" t="s">
        <v>137</v>
      </c>
      <c r="D12" s="2" t="s">
        <v>102</v>
      </c>
      <c r="E12" s="2" t="s">
        <v>135</v>
      </c>
      <c r="F12" s="67" t="s">
        <v>1</v>
      </c>
      <c r="G12" s="2" t="s">
        <v>129</v>
      </c>
      <c r="H12" s="68" t="s">
        <v>29</v>
      </c>
      <c r="I12" s="1"/>
      <c r="J12" s="1" t="s">
        <v>43</v>
      </c>
      <c r="K12" s="1"/>
      <c r="L12" s="66">
        <f t="shared" si="0"/>
        <v>2</v>
      </c>
      <c r="M12" s="66">
        <f t="array" ref="M12">IF($D12="旅美",1,IF($D12="旅日",2,IF($D12="旅韓",3,IF($D12="台裔",4,IF($D12&lt;&gt;"",5,99)))))</f>
        <v>1</v>
      </c>
      <c r="N12" s="1">
        <f t="array" ref="N12">IF($E12="MLB",1,IF($E12="3A",2,IF($E12="2A",3,IF(OR($E12="A+",$E12="高A"),4,IF($E12="1A",5,IF(OR($E12="RK",$E12="Rookie"),6,IF($E12="日職一軍",7,IF($E12="日職二軍",8,IF(OR($E12="韓職一軍",$E12="KBO"),9,IF($E12&lt;&gt;"",10,99))))))))))</f>
        <v>4</v>
      </c>
      <c r="O12" s="25" t="str">
        <f>IF(AND($F12="投手",LEFT($H12,3)="YES",OR($E12="MLB",$E12="3A",$E12="2A",$E12="日職一軍",$E12="韓職一軍",$E12="KBO")),COUNT($O$3:O11)+1,"")</f>
        <v/>
      </c>
      <c r="P12" s="25" t="str">
        <f>IF(AND($F12&lt;&gt;"投手",$F12&lt;&gt;"",LEFT($H12,3)="YES",OR($E12="MLB",$E12="3A",$E12="2A",$E12="日職一軍",$E12="韓職一軍",$E12="KBO")),COUNT($P$3:P11)+1,"")</f>
        <v/>
      </c>
      <c r="Q12" s="60"/>
      <c r="R12" s="60"/>
      <c r="S12" s="60"/>
    </row>
    <row r="13" spans="1:29">
      <c r="A13" s="2"/>
      <c r="B13" s="2" t="s">
        <v>44</v>
      </c>
      <c r="C13" s="2" t="s">
        <v>139</v>
      </c>
      <c r="D13" s="2" t="s">
        <v>102</v>
      </c>
      <c r="E13" s="2" t="s">
        <v>141</v>
      </c>
      <c r="F13" s="67" t="s">
        <v>1</v>
      </c>
      <c r="G13" s="2" t="s">
        <v>140</v>
      </c>
      <c r="H13" s="68" t="s">
        <v>39</v>
      </c>
      <c r="I13" s="1"/>
      <c r="L13" s="66">
        <f t="shared" si="0"/>
        <v>2</v>
      </c>
      <c r="M13" s="66">
        <f t="array" ref="M13">IF($D13="旅美",1,IF($D13="旅日",2,IF($D13="旅韓",3,IF($D13="台裔",4,IF($D13&lt;&gt;"",5,99)))))</f>
        <v>1</v>
      </c>
      <c r="N13" s="1">
        <f t="array" ref="N13">IF($E13="MLB",1,IF($E13="3A",2,IF($E13="2A",3,IF(OR($E13="A+",$E13="高A"),4,IF($E13="1A",5,IF(OR($E13="RK",$E13="Rookie"),6,IF($E13="日職一軍",7,IF($E13="日職二軍",8,IF(OR($E13="韓職一軍",$E13="KBO"),9,IF($E13&lt;&gt;"",10,99))))))))))</f>
        <v>5</v>
      </c>
      <c r="O13" s="25" t="str">
        <f>IF(AND($F13="投手",LEFT($H13,3)="YES",OR($E13="MLB",$E13="3A",$E13="2A",$E13="日職一軍",$E13="韓職一軍",$E13="KBO")),COUNT($O$3:O12)+1,"")</f>
        <v/>
      </c>
      <c r="P13" s="25" t="str">
        <f>IF(AND($F13&lt;&gt;"投手",$F13&lt;&gt;"",LEFT($H13,3)="YES",OR($E13="MLB",$E13="3A",$E13="2A",$E13="日職一軍",$E13="韓職一軍",$E13="KBO")),COUNT($P$3:P12)+1,"")</f>
        <v/>
      </c>
      <c r="Q13" s="60"/>
      <c r="R13" s="60"/>
      <c r="S13" s="60"/>
    </row>
    <row r="14" spans="1:29">
      <c r="A14" s="2"/>
      <c r="B14" s="2" t="s">
        <v>45</v>
      </c>
      <c r="C14" s="2" t="s">
        <v>143</v>
      </c>
      <c r="D14" s="2" t="s">
        <v>102</v>
      </c>
      <c r="E14" s="2" t="s">
        <v>141</v>
      </c>
      <c r="F14" s="67" t="s">
        <v>1</v>
      </c>
      <c r="G14" s="2" t="s">
        <v>144</v>
      </c>
      <c r="H14" s="68" t="s">
        <v>35</v>
      </c>
      <c r="I14" s="1"/>
      <c r="J14" s="1"/>
      <c r="K14" s="1"/>
      <c r="L14" s="66">
        <f t="shared" si="0"/>
        <v>2</v>
      </c>
      <c r="M14" s="66">
        <f t="array" ref="M14">IF($D14="旅美",1,IF($D14="旅日",2,IF($D14="旅韓",3,IF($D14="台裔",4,IF($D14&lt;&gt;"",5,99)))))</f>
        <v>1</v>
      </c>
      <c r="N14" s="1">
        <f t="array" ref="N14">IF($E14="MLB",1,IF($E14="3A",2,IF($E14="2A",3,IF(OR($E14="A+",$E14="高A"),4,IF($E14="1A",5,IF(OR($E14="RK",$E14="Rookie"),6,IF($E14="日職一軍",7,IF($E14="日職二軍",8,IF(OR($E14="韓職一軍",$E14="KBO"),9,IF($E14&lt;&gt;"",10,99))))))))))</f>
        <v>5</v>
      </c>
      <c r="O14" s="25" t="str">
        <f>IF(AND($F14="投手",LEFT($H14,3)="YES",OR($E14="MLB",$E14="3A",$E14="2A",$E14="日職一軍",$E14="韓職一軍",$E14="KBO")),COUNT($O$3:O13)+1,"")</f>
        <v/>
      </c>
      <c r="P14" s="25" t="str">
        <f>IF(AND($F14&lt;&gt;"投手",$F14&lt;&gt;"",LEFT($H14,3)="YES",OR($E14="MLB",$E14="3A",$E14="2A",$E14="日職一軍",$E14="韓職一軍",$E14="KBO")),COUNT($P$3:P13)+1,"")</f>
        <v/>
      </c>
      <c r="Q14" s="60"/>
      <c r="R14" s="60"/>
      <c r="S14" s="60"/>
    </row>
    <row r="15" spans="1:29">
      <c r="A15" s="2"/>
      <c r="B15" s="2" t="s">
        <v>46</v>
      </c>
      <c r="C15" s="2" t="s">
        <v>149</v>
      </c>
      <c r="D15" s="2" t="s">
        <v>102</v>
      </c>
      <c r="E15" s="2" t="s">
        <v>141</v>
      </c>
      <c r="F15" s="67" t="s">
        <v>1</v>
      </c>
      <c r="G15" s="2" t="s">
        <v>113</v>
      </c>
      <c r="H15" s="68" t="s">
        <v>32</v>
      </c>
      <c r="I15" s="1"/>
      <c r="J15" s="1"/>
      <c r="K15" s="1"/>
      <c r="L15" s="66">
        <f t="shared" si="0"/>
        <v>2</v>
      </c>
      <c r="M15" s="66">
        <f t="array" ref="M15">IF($D15="旅美",1,IF($D15="旅日",2,IF($D15="旅韓",3,IF($D15="台裔",4,IF($D15&lt;&gt;"",5,99)))))</f>
        <v>1</v>
      </c>
      <c r="N15" s="1">
        <f t="array" ref="N15">IF($E15="MLB",1,IF($E15="3A",2,IF($E15="2A",3,IF(OR($E15="A+",$E15="高A"),4,IF($E15="1A",5,IF(OR($E15="RK",$E15="Rookie"),6,IF($E15="日職一軍",7,IF($E15="日職二軍",8,IF(OR($E15="韓職一軍",$E15="KBO"),9,IF($E15&lt;&gt;"",10,99))))))))))</f>
        <v>5</v>
      </c>
      <c r="O15" s="25" t="str">
        <f>IF(AND($F15="投手",LEFT($H15,3)="YES",OR($E15="MLB",$E15="3A",$E15="2A",$E15="日職一軍",$E15="韓職一軍",$E15="KBO")),COUNT($O$3:O14)+1,"")</f>
        <v/>
      </c>
      <c r="P15" s="25" t="str">
        <f>IF(AND($F15&lt;&gt;"投手",$F15&lt;&gt;"",LEFT($H15,3)="YES",OR($E15="MLB",$E15="3A",$E15="2A",$E15="日職一軍",$E15="韓職一軍",$E15="KBO")),COUNT($P$3:P14)+1,"")</f>
        <v/>
      </c>
      <c r="Q15" s="60"/>
      <c r="R15" s="60"/>
      <c r="S15" s="60"/>
    </row>
    <row r="16" spans="1:29">
      <c r="A16" s="2"/>
      <c r="B16" s="2" t="s">
        <v>47</v>
      </c>
      <c r="C16" s="2" t="s">
        <v>151</v>
      </c>
      <c r="D16" s="2" t="s">
        <v>102</v>
      </c>
      <c r="E16" s="2" t="s">
        <v>141</v>
      </c>
      <c r="F16" s="67" t="s">
        <v>1</v>
      </c>
      <c r="G16" s="2" t="s">
        <v>152</v>
      </c>
      <c r="H16" s="68" t="s">
        <v>48</v>
      </c>
      <c r="I16" s="1"/>
      <c r="J16" s="1"/>
      <c r="K16" s="1"/>
      <c r="L16" s="66">
        <f t="shared" si="0"/>
        <v>2</v>
      </c>
      <c r="M16" s="66">
        <f t="array" ref="M16">IF($D16="旅美",1,IF($D16="旅日",2,IF($D16="旅韓",3,IF($D16="台裔",4,IF($D16&lt;&gt;"",5,99)))))</f>
        <v>1</v>
      </c>
      <c r="N16" s="1">
        <f t="array" ref="N16">IF($E16="MLB",1,IF($E16="3A",2,IF($E16="2A",3,IF(OR($E16="A+",$E16="高A"),4,IF($E16="1A",5,IF(OR($E16="RK",$E16="Rookie"),6,IF($E16="日職一軍",7,IF($E16="日職二軍",8,IF(OR($E16="韓職一軍",$E16="KBO"),9,IF($E16&lt;&gt;"",10,99))))))))))</f>
        <v>5</v>
      </c>
      <c r="O16" s="25" t="str">
        <f>IF(AND($F16="投手",LEFT($H16,3)="YES",OR($E16="MLB",$E16="3A",$E16="2A",$E16="日職一軍",$E16="韓職一軍",$E16="KBO")),COUNT($O$3:O15)+1,"")</f>
        <v/>
      </c>
      <c r="P16" s="25" t="str">
        <f>IF(AND($F16&lt;&gt;"投手",$F16&lt;&gt;"",LEFT($H16,3)="YES",OR($E16="MLB",$E16="3A",$E16="2A",$E16="日職一軍",$E16="韓職一軍",$E16="KBO")),COUNT($P$3:P15)+1,"")</f>
        <v/>
      </c>
      <c r="Q16" s="60"/>
      <c r="R16" s="60"/>
      <c r="S16" s="60"/>
    </row>
    <row r="17" spans="1:19">
      <c r="A17" s="2"/>
      <c r="B17" s="2" t="s">
        <v>49</v>
      </c>
      <c r="C17" s="2" t="s">
        <v>154</v>
      </c>
      <c r="D17" s="2" t="s">
        <v>102</v>
      </c>
      <c r="E17" s="2" t="s">
        <v>156</v>
      </c>
      <c r="F17" s="67" t="s">
        <v>1</v>
      </c>
      <c r="G17" s="2" t="s">
        <v>155</v>
      </c>
      <c r="H17" s="68" t="s">
        <v>50</v>
      </c>
      <c r="I17" s="1"/>
      <c r="J17" s="1"/>
      <c r="K17" s="1"/>
      <c r="L17" s="66">
        <f t="shared" si="0"/>
        <v>2</v>
      </c>
      <c r="M17" s="66">
        <f t="array" ref="M17">IF($D17="旅美",1,IF($D17="旅日",2,IF($D17="旅韓",3,IF($D17="台裔",4,IF($D17&lt;&gt;"",5,99)))))</f>
        <v>1</v>
      </c>
      <c r="N17" s="1">
        <f t="array" ref="N17">IF($E17="MLB",1,IF($E17="3A",2,IF($E17="2A",3,IF(OR($E17="A+",$E17="高A"),4,IF($E17="1A",5,IF(OR($E17="RK",$E17="Rookie"),6,IF($E17="日職一軍",7,IF($E17="日職二軍",8,IF(OR($E17="韓職一軍",$E17="KBO"),9,IF($E17&lt;&gt;"",10,99))))))))))</f>
        <v>6</v>
      </c>
      <c r="O17" s="25" t="str">
        <f>IF(AND($F17="投手",LEFT($H17,3)="YES",OR($E17="MLB",$E17="3A",$E17="2A",$E17="日職一軍",$E17="韓職一軍",$E17="KBO")),COUNT($O$3:O16)+1,"")</f>
        <v/>
      </c>
      <c r="P17" s="25" t="str">
        <f>IF(AND($F17&lt;&gt;"投手",$F17&lt;&gt;"",LEFT($H17,3)="YES",OR($E17="MLB",$E17="3A",$E17="2A",$E17="日職一軍",$E17="韓職一軍",$E17="KBO")),COUNT($P$3:P16)+1,"")</f>
        <v/>
      </c>
      <c r="Q17" s="60"/>
      <c r="R17" s="60"/>
      <c r="S17" s="60"/>
    </row>
    <row r="18" spans="1:19">
      <c r="A18" s="2"/>
      <c r="B18" s="2" t="s">
        <v>51</v>
      </c>
      <c r="C18" s="2" t="s">
        <v>158</v>
      </c>
      <c r="D18" s="2" t="s">
        <v>102</v>
      </c>
      <c r="E18" s="2" t="s">
        <v>156</v>
      </c>
      <c r="F18" s="67" t="s">
        <v>1</v>
      </c>
      <c r="G18" s="2" t="s">
        <v>159</v>
      </c>
      <c r="H18" s="68" t="s">
        <v>50</v>
      </c>
      <c r="I18" s="1"/>
      <c r="J18" s="1"/>
      <c r="K18" s="1"/>
      <c r="L18" s="66">
        <f t="shared" si="0"/>
        <v>2</v>
      </c>
      <c r="M18" s="66">
        <f t="array" ref="M18">IF($D18="旅美",1,IF($D18="旅日",2,IF($D18="旅韓",3,IF($D18="台裔",4,IF($D18&lt;&gt;"",5,99)))))</f>
        <v>1</v>
      </c>
      <c r="N18" s="1">
        <f t="array" ref="N18">IF($E18="MLB",1,IF($E18="3A",2,IF($E18="2A",3,IF(OR($E18="A+",$E18="高A"),4,IF($E18="1A",5,IF(OR($E18="RK",$E18="Rookie"),6,IF($E18="日職一軍",7,IF($E18="日職二軍",8,IF(OR($E18="韓職一軍",$E18="KBO"),9,IF($E18&lt;&gt;"",10,99))))))))))</f>
        <v>6</v>
      </c>
      <c r="O18" s="25" t="str">
        <f>IF(AND($F18="投手",LEFT($H18,3)="YES",OR($E18="MLB",$E18="3A",$E18="2A",$E18="日職一軍",$E18="韓職一軍",$E18="KBO")),COUNT($O$3:O17)+1,"")</f>
        <v/>
      </c>
      <c r="P18" s="25" t="str">
        <f>IF(AND($F18&lt;&gt;"投手",$F18&lt;&gt;"",LEFT($H18,3)="YES",OR($E18="MLB",$E18="3A",$E18="2A",$E18="日職一軍",$E18="韓職一軍",$E18="KBO")),COUNT($P$3:P17)+1,"")</f>
        <v/>
      </c>
      <c r="Q18" s="60"/>
      <c r="R18" s="60"/>
      <c r="S18" s="60"/>
    </row>
    <row r="19" spans="1:19">
      <c r="A19" s="2"/>
      <c r="B19" s="2" t="s">
        <v>52</v>
      </c>
      <c r="C19" s="2" t="s">
        <v>161</v>
      </c>
      <c r="D19" s="2" t="s">
        <v>102</v>
      </c>
      <c r="E19" s="2" t="s">
        <v>156</v>
      </c>
      <c r="F19" s="67" t="s">
        <v>1</v>
      </c>
      <c r="G19" s="2" t="s">
        <v>140</v>
      </c>
      <c r="H19" s="68" t="s">
        <v>50</v>
      </c>
      <c r="I19" s="1"/>
      <c r="J19" s="1"/>
      <c r="K19" s="1"/>
      <c r="L19" s="66">
        <f t="shared" si="0"/>
        <v>2</v>
      </c>
      <c r="M19" s="66">
        <f t="array" ref="M19">IF($D19="旅美",1,IF($D19="旅日",2,IF($D19="旅韓",3,IF($D19="台裔",4,IF($D19&lt;&gt;"",5,99)))))</f>
        <v>1</v>
      </c>
      <c r="N19" s="1">
        <f t="array" ref="N19">IF($E19="MLB",1,IF($E19="3A",2,IF($E19="2A",3,IF(OR($E19="A+",$E19="高A"),4,IF($E19="1A",5,IF(OR($E19="RK",$E19="Rookie"),6,IF($E19="日職一軍",7,IF($E19="日職二軍",8,IF(OR($E19="韓職一軍",$E19="KBO"),9,IF($E19&lt;&gt;"",10,99))))))))))</f>
        <v>6</v>
      </c>
      <c r="O19" s="25" t="str">
        <f>IF(AND($F19="投手",LEFT($H19,3)="YES",OR($E19="MLB",$E19="3A",$E19="2A",$E19="日職一軍",$E19="韓職一軍",$E19="KBO")),COUNT($O$3:O18)+1,"")</f>
        <v/>
      </c>
      <c r="P19" s="25" t="str">
        <f>IF(AND($F19&lt;&gt;"投手",$F19&lt;&gt;"",LEFT($H19,3)="YES",OR($E19="MLB",$E19="3A",$E19="2A",$E19="日職一軍",$E19="韓職一軍",$E19="KBO")),COUNT($P$3:P18)+1,"")</f>
        <v/>
      </c>
      <c r="Q19" s="60"/>
      <c r="R19" s="60"/>
      <c r="S19" s="60"/>
    </row>
    <row r="20" spans="1:19">
      <c r="A20" s="2"/>
      <c r="B20" s="2" t="s">
        <v>53</v>
      </c>
      <c r="C20" s="2" t="s">
        <v>163</v>
      </c>
      <c r="D20" s="2" t="s">
        <v>102</v>
      </c>
      <c r="E20" s="2" t="s">
        <v>156</v>
      </c>
      <c r="F20" s="67" t="s">
        <v>1</v>
      </c>
      <c r="G20" s="2" t="s">
        <v>155</v>
      </c>
      <c r="H20" s="68" t="s">
        <v>50</v>
      </c>
      <c r="I20" s="1"/>
      <c r="J20" s="1"/>
      <c r="K20" s="1"/>
      <c r="L20" s="66">
        <f t="shared" si="0"/>
        <v>2</v>
      </c>
      <c r="M20" s="66">
        <f t="array" ref="M20">IF($D20="旅美",1,IF($D20="旅日",2,IF($D20="旅韓",3,IF($D20="台裔",4,IF($D20&lt;&gt;"",5,99)))))</f>
        <v>1</v>
      </c>
      <c r="N20" s="1">
        <f t="array" ref="N20">IF($E20="MLB",1,IF($E20="3A",2,IF($E20="2A",3,IF(OR($E20="A+",$E20="高A"),4,IF($E20="1A",5,IF(OR($E20="RK",$E20="Rookie"),6,IF($E20="日職一軍",7,IF($E20="日職二軍",8,IF(OR($E20="韓職一軍",$E20="KBO"),9,IF($E20&lt;&gt;"",10,99))))))))))</f>
        <v>6</v>
      </c>
      <c r="O20" s="25" t="str">
        <f>IF(AND($F20="投手",LEFT($H20,3)="YES",OR($E20="MLB",$E20="3A",$E20="2A",$E20="日職一軍",$E20="韓職一軍",$E20="KBO")),COUNT($O$3:O19)+1,"")</f>
        <v/>
      </c>
      <c r="P20" s="25" t="str">
        <f>IF(AND($F20&lt;&gt;"投手",$F20&lt;&gt;"",LEFT($H20,3)="YES",OR($E20="MLB",$E20="3A",$E20="2A",$E20="日職一軍",$E20="韓職一軍",$E20="KBO")),COUNT($P$3:P19)+1,"")</f>
        <v/>
      </c>
      <c r="Q20" s="60"/>
      <c r="R20" s="60"/>
      <c r="S20" s="60"/>
    </row>
    <row r="21" spans="1:19">
      <c r="A21" s="2"/>
      <c r="B21" s="2" t="s">
        <v>54</v>
      </c>
      <c r="C21" s="2" t="s">
        <v>168</v>
      </c>
      <c r="D21" s="2" t="s">
        <v>102</v>
      </c>
      <c r="E21" s="2" t="s">
        <v>156</v>
      </c>
      <c r="F21" s="67" t="s">
        <v>1</v>
      </c>
      <c r="G21" s="2" t="s">
        <v>169</v>
      </c>
      <c r="H21" s="68" t="s">
        <v>50</v>
      </c>
      <c r="I21" s="1"/>
      <c r="J21" s="1"/>
      <c r="K21" s="1"/>
      <c r="L21" s="66">
        <f t="shared" si="0"/>
        <v>2</v>
      </c>
      <c r="M21" s="66">
        <f t="array" ref="M21">IF($D21="旅美",1,IF($D21="旅日",2,IF($D21="旅韓",3,IF($D21="台裔",4,IF($D21&lt;&gt;"",5,99)))))</f>
        <v>1</v>
      </c>
      <c r="N21" s="1">
        <f t="array" ref="N21">IF($E21="MLB",1,IF($E21="3A",2,IF($E21="2A",3,IF(OR($E21="A+",$E21="高A"),4,IF($E21="1A",5,IF(OR($E21="RK",$E21="Rookie"),6,IF($E21="日職一軍",7,IF($E21="日職二軍",8,IF(OR($E21="韓職一軍",$E21="KBO"),9,IF($E21&lt;&gt;"",10,99))))))))))</f>
        <v>6</v>
      </c>
      <c r="O21" s="25" t="str">
        <f>IF(AND($F21="投手",LEFT($H21,3)="YES",OR($E21="MLB",$E21="3A",$E21="2A",$E21="日職一軍",$E21="韓職一軍",$E21="KBO")),COUNT($O$3:O20)+1,"")</f>
        <v/>
      </c>
      <c r="P21" s="25" t="str">
        <f>IF(AND($F21&lt;&gt;"投手",$F21&lt;&gt;"",LEFT($H21,3)="YES",OR($E21="MLB",$E21="3A",$E21="2A",$E21="日職一軍",$E21="韓職一軍",$E21="KBO")),COUNT($P$3:P20)+1,"")</f>
        <v/>
      </c>
      <c r="Q21" s="60"/>
      <c r="R21" s="60"/>
      <c r="S21" s="60"/>
    </row>
    <row r="22" spans="1:19">
      <c r="A22" s="10"/>
      <c r="B22" s="10" t="s">
        <v>55</v>
      </c>
      <c r="C22" s="2" t="s">
        <v>171</v>
      </c>
      <c r="D22" s="10" t="s">
        <v>172</v>
      </c>
      <c r="E22" s="10" t="s">
        <v>176</v>
      </c>
      <c r="F22" s="69" t="s">
        <v>1</v>
      </c>
      <c r="G22" s="10" t="s">
        <v>175</v>
      </c>
      <c r="H22" s="68" t="s">
        <v>50</v>
      </c>
      <c r="I22" s="1"/>
      <c r="J22" s="1"/>
      <c r="K22" s="1"/>
      <c r="L22" s="66">
        <f t="shared" si="0"/>
        <v>2</v>
      </c>
      <c r="M22" s="66">
        <f t="array" ref="M22">IF($D22="旅美",1,IF($D22="旅日",2,IF($D22="旅韓",3,IF($D22="台裔",4,IF($D22&lt;&gt;"",5,99)))))</f>
        <v>2</v>
      </c>
      <c r="N22" s="1">
        <f t="array" ref="N22">IF($E22="MLB",1,IF($E22="3A",2,IF($E22="2A",3,IF(OR($E22="A+",$E22="高A"),4,IF($E22="1A",5,IF(OR($E22="RK",$E22="Rookie"),6,IF($E22="日職一軍",7,IF($E22="日職二軍",8,IF(OR($E22="韓職一軍",$E22="KBO"),9,IF($E22&lt;&gt;"",10,99))))))))))</f>
        <v>7</v>
      </c>
      <c r="O22" s="25" t="str">
        <f>IF(AND($F22="投手",LEFT($H22,3)="YES",OR($E22="MLB",$E22="3A",$E22="2A",$E22="日職一軍",$E22="韓職一軍",$E22="KBO")),COUNT($O$3:O21)+1,"")</f>
        <v/>
      </c>
      <c r="P22" s="25" t="str">
        <f>IF(AND($F22&lt;&gt;"投手",$F22&lt;&gt;"",LEFT($H22,3)="YES",OR($E22="MLB",$E22="3A",$E22="2A",$E22="日職一軍",$E22="韓職一軍",$E22="KBO")),COUNT($P$3:P21)+1,"")</f>
        <v/>
      </c>
      <c r="Q22" s="60"/>
      <c r="R22" s="60"/>
      <c r="S22" s="60"/>
    </row>
    <row r="23" spans="1:19">
      <c r="A23" s="10"/>
      <c r="B23" s="10" t="s">
        <v>56</v>
      </c>
      <c r="C23" s="2" t="s">
        <v>181</v>
      </c>
      <c r="D23" s="10" t="s">
        <v>172</v>
      </c>
      <c r="E23" s="10" t="s">
        <v>183</v>
      </c>
      <c r="F23" s="69" t="s">
        <v>1</v>
      </c>
      <c r="G23" s="10" t="s">
        <v>182</v>
      </c>
      <c r="H23" s="68" t="s">
        <v>50</v>
      </c>
      <c r="I23" s="1"/>
      <c r="J23" s="1"/>
      <c r="K23" s="1"/>
      <c r="L23" s="66">
        <f t="shared" si="0"/>
        <v>2</v>
      </c>
      <c r="M23" s="66">
        <f t="array" ref="M23">IF($D23="旅美",1,IF($D23="旅日",2,IF($D23="旅韓",3,IF($D23="台裔",4,IF($D23&lt;&gt;"",5,99)))))</f>
        <v>2</v>
      </c>
      <c r="N23" s="1">
        <f t="array" ref="N23">IF($E23="MLB",1,IF($E23="3A",2,IF($E23="2A",3,IF(OR($E23="A+",$E23="高A"),4,IF($E23="1A",5,IF(OR($E23="RK",$E23="Rookie"),6,IF($E23="日職一軍",7,IF($E23="日職二軍",8,IF(OR($E23="韓職一軍",$E23="KBO"),9,IF($E23&lt;&gt;"",10,99))))))))))</f>
        <v>8</v>
      </c>
      <c r="O23" s="25" t="str">
        <f>IF(AND($F23="投手",LEFT($H23,3)="YES",OR($E23="MLB",$E23="3A",$E23="2A",$E23="日職一軍",$E23="韓職一軍",$E23="KBO")),COUNT($O$3:O22)+1,"")</f>
        <v/>
      </c>
      <c r="P23" s="25" t="str">
        <f>IF(AND($F23&lt;&gt;"投手",$F23&lt;&gt;"",LEFT($H23,3)="YES",OR($E23="MLB",$E23="3A",$E23="2A",$E23="日職一軍",$E23="韓職一軍",$E23="KBO")),COUNT($P$3:P22)+1,"")</f>
        <v/>
      </c>
      <c r="Q23" s="60"/>
      <c r="R23" s="60"/>
      <c r="S23" s="60"/>
    </row>
    <row r="24" spans="1:19">
      <c r="A24" s="10"/>
      <c r="B24" s="10" t="s">
        <v>57</v>
      </c>
      <c r="C24" s="2" t="s">
        <v>190</v>
      </c>
      <c r="D24" s="10" t="s">
        <v>172</v>
      </c>
      <c r="E24" s="10" t="s">
        <v>183</v>
      </c>
      <c r="F24" s="69" t="s">
        <v>1</v>
      </c>
      <c r="G24" s="10" t="s">
        <v>182</v>
      </c>
      <c r="H24" s="68" t="s">
        <v>50</v>
      </c>
      <c r="I24" s="1"/>
      <c r="J24" s="1"/>
      <c r="K24" s="1"/>
      <c r="L24" s="66">
        <f t="shared" si="0"/>
        <v>2</v>
      </c>
      <c r="M24" s="66">
        <f t="array" ref="M24">IF($D24="旅美",1,IF($D24="旅日",2,IF($D24="旅韓",3,IF($D24="台裔",4,IF($D24&lt;&gt;"",5,99)))))</f>
        <v>2</v>
      </c>
      <c r="N24" s="1">
        <f t="array" ref="N24">IF($E24="MLB",1,IF($E24="3A",2,IF($E24="2A",3,IF(OR($E24="A+",$E24="高A"),4,IF($E24="1A",5,IF(OR($E24="RK",$E24="Rookie"),6,IF($E24="日職一軍",7,IF($E24="日職二軍",8,IF(OR($E24="韓職一軍",$E24="KBO"),9,IF($E24&lt;&gt;"",10,99))))))))))</f>
        <v>8</v>
      </c>
      <c r="O24" s="25" t="str">
        <f>IF(AND($F24="投手",LEFT($H24,3)="YES",OR($E24="MLB",$E24="3A",$E24="2A",$E24="日職一軍",$E24="韓職一軍",$E24="KBO")),COUNT($O$3:O23)+1,"")</f>
        <v/>
      </c>
      <c r="P24" s="25" t="str">
        <f>IF(AND($F24&lt;&gt;"投手",$F24&lt;&gt;"",LEFT($H24,3)="YES",OR($E24="MLB",$E24="3A",$E24="2A",$E24="日職一軍",$E24="韓職一軍",$E24="KBO")),COUNT($P$3:P23)+1,"")</f>
        <v/>
      </c>
      <c r="Q24" s="60"/>
      <c r="R24" s="60"/>
      <c r="S24" s="60"/>
    </row>
    <row r="25" spans="1:19">
      <c r="A25" s="10"/>
      <c r="B25" s="10" t="s">
        <v>58</v>
      </c>
      <c r="C25" s="2" t="s">
        <v>192</v>
      </c>
      <c r="D25" s="10" t="s">
        <v>172</v>
      </c>
      <c r="E25" s="10" t="s">
        <v>183</v>
      </c>
      <c r="F25" s="69" t="s">
        <v>1</v>
      </c>
      <c r="G25" s="10" t="s">
        <v>193</v>
      </c>
      <c r="H25" s="68" t="s">
        <v>50</v>
      </c>
      <c r="I25" s="1"/>
      <c r="J25" s="1"/>
      <c r="K25" s="1"/>
      <c r="L25" s="66">
        <f t="shared" si="0"/>
        <v>2</v>
      </c>
      <c r="M25" s="66">
        <f t="array" ref="M25">IF($D25="旅美",1,IF($D25="旅日",2,IF($D25="旅韓",3,IF($D25="台裔",4,IF($D25&lt;&gt;"",5,99)))))</f>
        <v>2</v>
      </c>
      <c r="N25" s="1">
        <f t="array" ref="N25">IF($E25="MLB",1,IF($E25="3A",2,IF($E25="2A",3,IF(OR($E25="A+",$E25="高A"),4,IF($E25="1A",5,IF(OR($E25="RK",$E25="Rookie"),6,IF($E25="日職一軍",7,IF($E25="日職二軍",8,IF(OR($E25="韓職一軍",$E25="KBO"),9,IF($E25&lt;&gt;"",10,99))))))))))</f>
        <v>8</v>
      </c>
      <c r="O25" s="25" t="str">
        <f>IF(AND($F25="投手",LEFT($H25,3)="YES",OR($E25="MLB",$E25="3A",$E25="2A",$E25="日職一軍",$E25="韓職一軍",$E25="KBO")),COUNT($O$3:O24)+1,"")</f>
        <v/>
      </c>
      <c r="P25" s="25" t="str">
        <f>IF(AND($F25&lt;&gt;"投手",$F25&lt;&gt;"",LEFT($H25,3)="YES",OR($E25="MLB",$E25="3A",$E25="2A",$E25="日職一軍",$E25="韓職一軍",$E25="KBO")),COUNT($P$3:P24)+1,"")</f>
        <v/>
      </c>
      <c r="Q25" s="60"/>
      <c r="R25" s="60"/>
      <c r="S25" s="60"/>
    </row>
    <row r="26" spans="1:19">
      <c r="A26" s="10"/>
      <c r="B26" s="10" t="s">
        <v>59</v>
      </c>
      <c r="C26" s="2" t="s">
        <v>195</v>
      </c>
      <c r="D26" s="10" t="s">
        <v>172</v>
      </c>
      <c r="E26" s="10" t="s">
        <v>183</v>
      </c>
      <c r="F26" s="69" t="s">
        <v>1</v>
      </c>
      <c r="G26" s="10" t="s">
        <v>196</v>
      </c>
      <c r="H26" s="68" t="s">
        <v>50</v>
      </c>
      <c r="I26" s="1"/>
      <c r="J26" s="1"/>
      <c r="K26" s="1"/>
      <c r="L26" s="66">
        <f t="shared" si="0"/>
        <v>2</v>
      </c>
      <c r="M26" s="66">
        <f t="array" ref="M26">IF($D26="旅美",1,IF($D26="旅日",2,IF($D26="旅韓",3,IF($D26="台裔",4,IF($D26&lt;&gt;"",5,99)))))</f>
        <v>2</v>
      </c>
      <c r="N26" s="1">
        <f t="array" ref="N26">IF($E26="MLB",1,IF($E26="3A",2,IF($E26="2A",3,IF(OR($E26="A+",$E26="高A"),4,IF($E26="1A",5,IF(OR($E26="RK",$E26="Rookie"),6,IF($E26="日職一軍",7,IF($E26="日職二軍",8,IF(OR($E26="韓職一軍",$E26="KBO"),9,IF($E26&lt;&gt;"",10,99))))))))))</f>
        <v>8</v>
      </c>
      <c r="O26" s="25" t="str">
        <f>IF(AND($F26="投手",LEFT($H26,3)="YES",OR($E26="MLB",$E26="3A",$E26="2A",$E26="日職一軍",$E26="韓職一軍",$E26="KBO")),COUNT($O$3:O25)+1,"")</f>
        <v/>
      </c>
      <c r="P26" s="25" t="str">
        <f>IF(AND($F26&lt;&gt;"投手",$F26&lt;&gt;"",LEFT($H26,3)="YES",OR($E26="MLB",$E26="3A",$E26="2A",$E26="日職一軍",$E26="韓職一軍",$E26="KBO")),COUNT($P$3:P25)+1,"")</f>
        <v/>
      </c>
      <c r="Q26" s="60"/>
      <c r="R26" s="60"/>
      <c r="S26" s="60"/>
    </row>
    <row r="27" spans="1:19">
      <c r="A27" s="10"/>
      <c r="B27" s="10" t="s">
        <v>60</v>
      </c>
      <c r="C27" s="2" t="s">
        <v>198</v>
      </c>
      <c r="D27" s="10" t="s">
        <v>172</v>
      </c>
      <c r="E27" s="10" t="s">
        <v>183</v>
      </c>
      <c r="F27" s="69" t="s">
        <v>1</v>
      </c>
      <c r="G27" s="10" t="s">
        <v>193</v>
      </c>
      <c r="H27" s="68" t="s">
        <v>50</v>
      </c>
      <c r="I27" s="1"/>
      <c r="J27" s="1"/>
      <c r="K27" s="1"/>
      <c r="L27" s="66">
        <f t="shared" si="0"/>
        <v>2</v>
      </c>
      <c r="M27" s="66">
        <f t="array" ref="M27">IF($D27="旅美",1,IF($D27="旅日",2,IF($D27="旅韓",3,IF($D27="台裔",4,IF($D27&lt;&gt;"",5,99)))))</f>
        <v>2</v>
      </c>
      <c r="N27" s="1">
        <f t="array" ref="N27">IF($E27="MLB",1,IF($E27="3A",2,IF($E27="2A",3,IF(OR($E27="A+",$E27="高A"),4,IF($E27="1A",5,IF(OR($E27="RK",$E27="Rookie"),6,IF($E27="日職一軍",7,IF($E27="日職二軍",8,IF(OR($E27="韓職一軍",$E27="KBO"),9,IF($E27&lt;&gt;"",10,99))))))))))</f>
        <v>8</v>
      </c>
      <c r="O27" s="25" t="str">
        <f>IF(AND($F27="投手",LEFT($H27,3)="YES",OR($E27="MLB",$E27="3A",$E27="2A",$E27="日職一軍",$E27="韓職一軍",$E27="KBO")),COUNT($O$3:O26)+1,"")</f>
        <v/>
      </c>
      <c r="P27" s="25" t="str">
        <f>IF(AND($F27&lt;&gt;"投手",$F27&lt;&gt;"",LEFT($H27,3)="YES",OR($E27="MLB",$E27="3A",$E27="2A",$E27="日職一軍",$E27="韓職一軍",$E27="KBO")),COUNT($P$3:P26)+1,"")</f>
        <v/>
      </c>
      <c r="Q27" s="60"/>
      <c r="R27" s="60"/>
      <c r="S27" s="60"/>
    </row>
    <row r="28" spans="1:19">
      <c r="A28" s="10"/>
      <c r="B28" s="10" t="s">
        <v>61</v>
      </c>
      <c r="C28" s="2" t="s">
        <v>200</v>
      </c>
      <c r="D28" s="10" t="s">
        <v>172</v>
      </c>
      <c r="E28" s="10" t="s">
        <v>183</v>
      </c>
      <c r="F28" s="69" t="s">
        <v>1</v>
      </c>
      <c r="G28" s="10" t="s">
        <v>201</v>
      </c>
      <c r="H28" s="68" t="s">
        <v>50</v>
      </c>
      <c r="I28" s="1"/>
      <c r="J28" s="1"/>
      <c r="K28" s="1"/>
      <c r="L28" s="66">
        <f t="shared" si="0"/>
        <v>2</v>
      </c>
      <c r="M28" s="66">
        <f t="array" ref="M28">IF($D28="旅美",1,IF($D28="旅日",2,IF($D28="旅韓",3,IF($D28="台裔",4,IF($D28&lt;&gt;"",5,99)))))</f>
        <v>2</v>
      </c>
      <c r="N28" s="1">
        <f t="array" ref="N28">IF($E28="MLB",1,IF($E28="3A",2,IF($E28="2A",3,IF(OR($E28="A+",$E28="高A"),4,IF($E28="1A",5,IF(OR($E28="RK",$E28="Rookie"),6,IF($E28="日職一軍",7,IF($E28="日職二軍",8,IF(OR($E28="韓職一軍",$E28="KBO"),9,IF($E28&lt;&gt;"",10,99))))))))))</f>
        <v>8</v>
      </c>
      <c r="O28" s="25" t="str">
        <f>IF(AND($F28="投手",LEFT($H28,3)="YES",OR($E28="MLB",$E28="3A",$E28="2A",$E28="日職一軍",$E28="韓職一軍",$E28="KBO")),COUNT($O$3:O27)+1,"")</f>
        <v/>
      </c>
      <c r="P28" s="25" t="str">
        <f>IF(AND($F28&lt;&gt;"投手",$F28&lt;&gt;"",LEFT($H28,3)="YES",OR($E28="MLB",$E28="3A",$E28="2A",$E28="日職一軍",$E28="韓職一軍",$E28="KBO")),COUNT($P$3:P27)+1,"")</f>
        <v/>
      </c>
      <c r="Q28" s="60"/>
      <c r="R28" s="60"/>
      <c r="S28" s="60"/>
    </row>
    <row r="29" spans="1:19">
      <c r="A29" s="10"/>
      <c r="B29" s="10" t="s">
        <v>62</v>
      </c>
      <c r="C29" s="2" t="s">
        <v>205</v>
      </c>
      <c r="D29" s="10" t="s">
        <v>172</v>
      </c>
      <c r="E29" s="10" t="s">
        <v>183</v>
      </c>
      <c r="F29" s="69" t="s">
        <v>1</v>
      </c>
      <c r="G29" s="10" t="s">
        <v>206</v>
      </c>
      <c r="H29" s="68" t="s">
        <v>50</v>
      </c>
      <c r="I29" s="1"/>
      <c r="J29" s="1"/>
      <c r="K29" s="1"/>
      <c r="L29" s="66">
        <f t="shared" si="0"/>
        <v>2</v>
      </c>
      <c r="M29" s="66">
        <f t="array" ref="M29">IF($D29="旅美",1,IF($D29="旅日",2,IF($D29="旅韓",3,IF($D29="台裔",4,IF($D29&lt;&gt;"",5,99)))))</f>
        <v>2</v>
      </c>
      <c r="N29" s="1">
        <f t="array" ref="N29">IF($E29="MLB",1,IF($E29="3A",2,IF($E29="2A",3,IF(OR($E29="A+",$E29="高A"),4,IF($E29="1A",5,IF(OR($E29="RK",$E29="Rookie"),6,IF($E29="日職一軍",7,IF($E29="日職二軍",8,IF(OR($E29="韓職一軍",$E29="KBO"),9,IF($E29&lt;&gt;"",10,99))))))))))</f>
        <v>8</v>
      </c>
      <c r="O29" s="25" t="str">
        <f>IF(AND($F29="投手",LEFT($H29,3)="YES",OR($E29="MLB",$E29="3A",$E29="2A",$E29="日職一軍",$E29="韓職一軍",$E29="KBO")),COUNT($O$3:O28)+1,"")</f>
        <v/>
      </c>
      <c r="P29" s="25" t="str">
        <f>IF(AND($F29&lt;&gt;"投手",$F29&lt;&gt;"",LEFT($H29,3)="YES",OR($E29="MLB",$E29="3A",$E29="2A",$E29="日職一軍",$E29="韓職一軍",$E29="KBO")),COUNT($P$3:P28)+1,"")</f>
        <v/>
      </c>
      <c r="Q29" s="60"/>
      <c r="R29" s="60"/>
      <c r="S29" s="60"/>
    </row>
    <row r="30" spans="1:19">
      <c r="A30" s="10"/>
      <c r="B30" s="10" t="s">
        <v>63</v>
      </c>
      <c r="C30" s="2" t="s">
        <v>208</v>
      </c>
      <c r="D30" s="10" t="s">
        <v>172</v>
      </c>
      <c r="E30" s="10" t="s">
        <v>183</v>
      </c>
      <c r="F30" s="69" t="s">
        <v>1</v>
      </c>
      <c r="G30" s="10" t="s">
        <v>175</v>
      </c>
      <c r="H30" s="68" t="s">
        <v>50</v>
      </c>
      <c r="I30" s="1"/>
      <c r="J30" s="1"/>
      <c r="K30" s="1"/>
      <c r="L30" s="66">
        <f t="shared" si="0"/>
        <v>2</v>
      </c>
      <c r="M30" s="66">
        <f t="array" ref="M30">IF($D30="旅美",1,IF($D30="旅日",2,IF($D30="旅韓",3,IF($D30="台裔",4,IF($D30&lt;&gt;"",5,99)))))</f>
        <v>2</v>
      </c>
      <c r="N30" s="1">
        <f t="array" ref="N30">IF($E30="MLB",1,IF($E30="3A",2,IF($E30="2A",3,IF(OR($E30="A+",$E30="高A"),4,IF($E30="1A",5,IF(OR($E30="RK",$E30="Rookie"),6,IF($E30="日職一軍",7,IF($E30="日職二軍",8,IF(OR($E30="韓職一軍",$E30="KBO"),9,IF($E30&lt;&gt;"",10,99))))))))))</f>
        <v>8</v>
      </c>
      <c r="O30" s="25" t="str">
        <f>IF(AND($F30="投手",LEFT($H30,3)="YES",OR($E30="MLB",$E30="3A",$E30="2A",$E30="日職一軍",$E30="韓職一軍",$E30="KBO")),COUNT($O$3:O29)+1,"")</f>
        <v/>
      </c>
      <c r="P30" s="25" t="str">
        <f>IF(AND($F30&lt;&gt;"投手",$F30&lt;&gt;"",LEFT($H30,3)="YES",OR($E30="MLB",$E30="3A",$E30="2A",$E30="日職一軍",$E30="韓職一軍",$E30="KBO")),COUNT($P$3:P29)+1,"")</f>
        <v/>
      </c>
      <c r="Q30" s="60"/>
      <c r="R30" s="60"/>
      <c r="S30" s="60"/>
    </row>
    <row r="31" spans="1:19">
      <c r="A31" s="11"/>
      <c r="B31" s="11" t="s">
        <v>64</v>
      </c>
      <c r="C31" s="2" t="s">
        <v>210</v>
      </c>
      <c r="D31" s="11" t="s">
        <v>211</v>
      </c>
      <c r="E31" s="11" t="s">
        <v>215</v>
      </c>
      <c r="F31" s="70" t="s">
        <v>1</v>
      </c>
      <c r="G31" s="11" t="s">
        <v>214</v>
      </c>
      <c r="H31" s="68" t="s">
        <v>50</v>
      </c>
      <c r="I31" s="1"/>
      <c r="J31" s="1"/>
      <c r="K31" s="1"/>
      <c r="L31" s="66">
        <f t="shared" si="0"/>
        <v>2</v>
      </c>
      <c r="M31" s="66">
        <f t="array" ref="M31">IF($D31="旅美",1,IF($D31="旅日",2,IF($D31="旅韓",3,IF($D31="台裔",4,IF($D31&lt;&gt;"",5,99)))))</f>
        <v>3</v>
      </c>
      <c r="N31" s="1">
        <f t="array" ref="N31">IF($E31="MLB",1,IF($E31="3A",2,IF($E31="2A",3,IF(OR($E31="A+",$E31="高A"),4,IF($E31="1A",5,IF(OR($E31="RK",$E31="Rookie"),6,IF($E31="日職一軍",7,IF($E31="日職二軍",8,IF(OR($E31="韓職一軍",$E31="KBO"),9,IF($E31&lt;&gt;"",10,99))))))))))</f>
        <v>9</v>
      </c>
      <c r="O31" s="25" t="str">
        <f>IF(AND($F31="投手",LEFT($H31,3)="YES",OR($E31="MLB",$E31="3A",$E31="2A",$E31="日職一軍",$E31="韓職一軍",$E31="KBO")),COUNT($O$3:O30)+1,"")</f>
        <v/>
      </c>
      <c r="P31" s="25" t="str">
        <f>IF(AND($F31&lt;&gt;"投手",$F31&lt;&gt;"",LEFT($H31,3)="YES",OR($E31="MLB",$E31="3A",$E31="2A",$E31="日職一軍",$E31="韓職一軍",$E31="KBO")),COUNT($P$3:P30)+1,"")</f>
        <v/>
      </c>
      <c r="Q31" s="60"/>
      <c r="R31" s="60"/>
      <c r="S31" s="60"/>
    </row>
    <row r="32" spans="1:19">
      <c r="A32" s="53" t="s">
        <v>5</v>
      </c>
      <c r="C32" s="2"/>
      <c r="D32" s="53"/>
      <c r="E32" s="1"/>
      <c r="F32" s="68"/>
      <c r="G32" s="1"/>
      <c r="H32" s="68"/>
      <c r="I32" s="1"/>
      <c r="J32" s="1"/>
      <c r="K32" s="1"/>
      <c r="L32" s="66">
        <f>IF($A32="投手",1,IF($F32="投手",2,IF($A32="野手",3,IF(OR($F32="野手",$F32="內野手",$F32="外野手",$F32="捕手"),4,99))))</f>
        <v>3</v>
      </c>
      <c r="M32" s="66">
        <f t="array" ref="M32">IF($D32="旅美",1,IF($D32="旅日",2,IF($D32="旅韓",3,IF($D32="台裔",4,IF($D32&lt;&gt;"",5,99)))))</f>
        <v>99</v>
      </c>
      <c r="N32" s="1">
        <f t="array" ref="N32">IF($E32="MLB",1,IF($E32="3A",2,IF($E32="2A",3,IF(OR($E32="A+",$E32="高A"),4,IF($E32="1A",5,IF(OR($E32="RK",$E32="Rookie"),6,IF($E32="日職一軍",7,IF($E32="日職二軍",8,IF(OR($E32="韓職一軍",$E32="KBO"),9,IF($E32&lt;&gt;"",10,99))))))))))</f>
        <v>99</v>
      </c>
      <c r="O32" s="25" t="str">
        <f>IF(AND($F32="投手",LEFT($H32,3)="YES",OR($E32="MLB",$E32="3A",$E32="2A",$E32="日職一軍",$E32="韓職一軍",$E32="KBO")),COUNT($O$3:O31)+1,"")</f>
        <v/>
      </c>
      <c r="P32" s="25" t="str">
        <f>IF(AND($F32&lt;&gt;"投手",$F32&lt;&gt;"",LEFT($H32,3)="YES",OR($E32="MLB",$E32="3A",$E32="2A",$E32="日職一軍",$E32="韓職一軍",$E32="KBO")),COUNT($P$3:P31)+1,"")</f>
        <v/>
      </c>
      <c r="Q32" s="60"/>
      <c r="R32" s="60"/>
      <c r="S32" s="60"/>
    </row>
    <row r="33" spans="1:27">
      <c r="A33" s="2"/>
      <c r="B33" s="2" t="s">
        <v>65</v>
      </c>
      <c r="C33" s="2" t="s">
        <v>101</v>
      </c>
      <c r="D33" s="2" t="s">
        <v>102</v>
      </c>
      <c r="E33" s="2" t="s">
        <v>104</v>
      </c>
      <c r="F33" s="67" t="s">
        <v>5</v>
      </c>
      <c r="G33" s="2" t="s">
        <v>105</v>
      </c>
      <c r="H33" s="68" t="s">
        <v>66</v>
      </c>
      <c r="I33" s="1"/>
      <c r="J33" s="1"/>
      <c r="K33" s="1"/>
      <c r="L33" s="66">
        <f t="shared" ref="L33:L44" si="1">IF($B33="投手",1,IF($F33="投手",2,IF($B33="野手",3,IF(OR($F33="野手",$F33="內野手",$F33="外野手",$F33="捕手"),4,99))))</f>
        <v>4</v>
      </c>
      <c r="M33" s="66">
        <f t="array" ref="M33">IF($D33="旅美",1,IF($D33="旅日",2,IF($D33="旅韓",3,IF($D33="台裔",4,IF($D33&lt;&gt;"",5,99)))))</f>
        <v>1</v>
      </c>
      <c r="N33" s="1">
        <f t="array" ref="N33">IF($E33="MLB",1,IF($E33="3A",2,IF($E33="2A",3,IF(OR($E33="A+",$E33="高A"),4,IF($E33="1A",5,IF(OR($E33="RK",$E33="Rookie"),6,IF($E33="日職一軍",7,IF($E33="日職二軍",8,IF(OR($E33="韓職一軍",$E33="KBO"),9,IF($E33&lt;&gt;"",10,99))))))))))</f>
        <v>1</v>
      </c>
      <c r="O33" s="25" t="str">
        <f>IF(AND($F33="投手",LEFT($H33,3)="YES",OR($E33="MLB",$E33="3A",$E33="2A",$E33="日職一軍",$E33="韓職一軍",$E33="KBO")),COUNT($O$3:O32)+1,"")</f>
        <v/>
      </c>
      <c r="P33" s="25" t="str">
        <f>IF(AND($F33&lt;&gt;"投手",$F33&lt;&gt;"",LEFT($H33,3)="YES",OR($E33="MLB",$E33="3A",$E33="2A",$E33="日職一軍",$E33="韓職一軍",$E33="KBO")),COUNT($P$3:P32)+1,"")</f>
        <v/>
      </c>
      <c r="Q33" s="60"/>
      <c r="R33" s="60"/>
      <c r="S33" s="60"/>
    </row>
    <row r="34" spans="1:27">
      <c r="A34" s="2"/>
      <c r="B34" s="2" t="s">
        <v>67</v>
      </c>
      <c r="C34" s="2" t="s">
        <v>116</v>
      </c>
      <c r="D34" s="2" t="s">
        <v>102</v>
      </c>
      <c r="E34" s="2" t="s">
        <v>114</v>
      </c>
      <c r="F34" s="67" t="s">
        <v>5</v>
      </c>
      <c r="G34" s="2" t="s">
        <v>117</v>
      </c>
      <c r="H34" s="68" t="s">
        <v>29</v>
      </c>
      <c r="I34" s="1"/>
      <c r="J34" s="71" t="s">
        <v>68</v>
      </c>
      <c r="K34" s="71"/>
      <c r="L34" s="66">
        <f t="shared" si="1"/>
        <v>4</v>
      </c>
      <c r="M34" s="66">
        <f t="array" ref="M34">IF($D34="旅美",1,IF($D34="旅日",2,IF($D34="旅韓",3,IF($D34="台裔",4,IF($D34&lt;&gt;"",5,99)))))</f>
        <v>1</v>
      </c>
      <c r="N34" s="1">
        <f t="array" ref="N34">IF($E34="MLB",1,IF($E34="3A",2,IF($E34="2A",3,IF(OR($E34="A+",$E34="高A"),4,IF($E34="1A",5,IF(OR($E34="RK",$E34="Rookie"),6,IF($E34="日職一軍",7,IF($E34="日職二軍",8,IF(OR($E34="韓職一軍",$E34="KBO"),9,IF($E34&lt;&gt;"",10,99))))))))))</f>
        <v>2</v>
      </c>
      <c r="O34" s="25" t="str">
        <f>IF(AND($F34="投手",LEFT($H34,3)="YES",OR($E34="MLB",$E34="3A",$E34="2A",$E34="日職一軍",$E34="韓職一軍",$E34="KBO")),COUNT($O$3:O33)+1,"")</f>
        <v/>
      </c>
      <c r="P34" s="25">
        <f>IF(AND($F34&lt;&gt;"投手",$F34&lt;&gt;"",LEFT($H34,3)="YES",OR($E34="MLB",$E34="3A",$E34="2A",$E34="日職一軍",$E34="韓職一軍",$E34="KBO")),COUNT($P$3:P33)+1,"")</f>
        <v>1</v>
      </c>
      <c r="Q34" s="60"/>
      <c r="R34" s="60"/>
      <c r="S34" s="60"/>
    </row>
    <row r="35" spans="1:27">
      <c r="A35" s="2"/>
      <c r="B35" s="2" t="s">
        <v>69</v>
      </c>
      <c r="C35" s="2" t="s">
        <v>145</v>
      </c>
      <c r="D35" s="2" t="s">
        <v>102</v>
      </c>
      <c r="E35" s="2" t="s">
        <v>141</v>
      </c>
      <c r="F35" s="67" t="s">
        <v>146</v>
      </c>
      <c r="G35" s="2" t="s">
        <v>147</v>
      </c>
      <c r="H35" s="68" t="s">
        <v>29</v>
      </c>
      <c r="I35" s="1"/>
      <c r="J35" s="25" t="s">
        <v>70</v>
      </c>
      <c r="L35" s="66">
        <f t="shared" si="1"/>
        <v>4</v>
      </c>
      <c r="M35" s="66">
        <f t="array" ref="M35">IF($D35="旅美",1,IF($D35="旅日",2,IF($D35="旅韓",3,IF($D35="台裔",4,IF($D35&lt;&gt;"",5,99)))))</f>
        <v>1</v>
      </c>
      <c r="N35" s="1">
        <f t="array" ref="N35">IF($E35="MLB",1,IF($E35="3A",2,IF($E35="2A",3,IF(OR($E35="A+",$E35="高A"),4,IF($E35="1A",5,IF(OR($E35="RK",$E35="Rookie"),6,IF($E35="日職一軍",7,IF($E35="日職二軍",8,IF(OR($E35="韓職一軍",$E35="KBO"),9,IF($E35&lt;&gt;"",10,99))))))))))</f>
        <v>5</v>
      </c>
      <c r="O35" s="25" t="str">
        <f>IF(AND($F35="投手",LEFT($H35,3)="YES",OR($E35="MLB",$E35="3A",$E35="2A",$E35="日職一軍",$E35="韓職一軍",$E35="KBO")),COUNT($O$3:O34)+1,"")</f>
        <v/>
      </c>
      <c r="P35" s="25" t="str">
        <f>IF(AND($F35&lt;&gt;"投手",$F35&lt;&gt;"",LEFT($H35,3)="YES",OR($E35="MLB",$E35="3A",$E35="2A",$E35="日職一軍",$E35="韓職一軍",$E35="KBO")),COUNT($P$3:P34)+1,"")</f>
        <v/>
      </c>
      <c r="Q35" s="60"/>
      <c r="R35" s="60"/>
      <c r="S35" s="60"/>
    </row>
    <row r="36" spans="1:27">
      <c r="A36" s="2"/>
      <c r="B36" s="2" t="s">
        <v>71</v>
      </c>
      <c r="C36" s="2" t="s">
        <v>165</v>
      </c>
      <c r="D36" s="2" t="s">
        <v>102</v>
      </c>
      <c r="E36" s="2" t="s">
        <v>156</v>
      </c>
      <c r="F36" s="67" t="s">
        <v>166</v>
      </c>
      <c r="G36" s="2" t="s">
        <v>159</v>
      </c>
      <c r="H36" s="68" t="s">
        <v>50</v>
      </c>
      <c r="I36" s="1"/>
      <c r="J36" s="1"/>
      <c r="K36" s="1"/>
      <c r="L36" s="66">
        <f t="shared" si="1"/>
        <v>4</v>
      </c>
      <c r="M36" s="66">
        <f t="array" ref="M36">IF($D36="旅美",1,IF($D36="旅日",2,IF($D36="旅韓",3,IF($D36="台裔",4,IF($D36&lt;&gt;"",5,99)))))</f>
        <v>1</v>
      </c>
      <c r="N36" s="1">
        <f t="array" ref="N36">IF($E36="MLB",1,IF($E36="3A",2,IF($E36="2A",3,IF(OR($E36="A+",$E36="高A"),4,IF($E36="1A",5,IF(OR($E36="RK",$E36="Rookie"),6,IF($E36="日職一軍",7,IF($E36="日職二軍",8,IF(OR($E36="韓職一軍",$E36="KBO"),9,IF($E36&lt;&gt;"",10,99))))))))))</f>
        <v>6</v>
      </c>
      <c r="O36" s="25" t="str">
        <f>IF(AND($F36="投手",LEFT($H36,3)="YES",OR($E36="MLB",$E36="3A",$E36="2A",$E36="日職一軍",$E36="韓職一軍",$E36="KBO")),COUNT($O$3:O35)+1,"")</f>
        <v/>
      </c>
      <c r="P36" s="25" t="str">
        <f>IF(AND($F36&lt;&gt;"投手",$F36&lt;&gt;"",LEFT($H36,3)="YES",OR($E36="MLB",$E36="3A",$E36="2A",$E36="日職一軍",$E36="韓職一軍",$E36="KBO")),COUNT($P$3:P35)+1,"")</f>
        <v/>
      </c>
      <c r="Q36" s="60"/>
      <c r="R36" s="60"/>
      <c r="S36" s="60"/>
    </row>
    <row r="37" spans="1:27">
      <c r="A37" s="10"/>
      <c r="B37" s="10" t="s">
        <v>72</v>
      </c>
      <c r="C37" s="2" t="s">
        <v>178</v>
      </c>
      <c r="D37" s="10" t="s">
        <v>172</v>
      </c>
      <c r="E37" s="10" t="s">
        <v>176</v>
      </c>
      <c r="F37" s="69" t="s">
        <v>146</v>
      </c>
      <c r="G37" s="10" t="s">
        <v>179</v>
      </c>
      <c r="H37" s="68" t="s">
        <v>50</v>
      </c>
      <c r="I37" s="1"/>
      <c r="J37" s="1"/>
      <c r="K37" s="1"/>
      <c r="L37" s="66">
        <f t="shared" si="1"/>
        <v>4</v>
      </c>
      <c r="M37" s="66">
        <f t="array" ref="M37">IF($D37="旅美",1,IF($D37="旅日",2,IF($D37="旅韓",3,IF($D37="台裔",4,IF($D37&lt;&gt;"",5,99)))))</f>
        <v>2</v>
      </c>
      <c r="N37" s="1">
        <f t="array" ref="N37">IF($E37="MLB",1,IF($E37="3A",2,IF($E37="2A",3,IF(OR($E37="A+",$E37="高A"),4,IF($E37="1A",5,IF(OR($E37="RK",$E37="Rookie"),6,IF($E37="日職一軍",7,IF($E37="日職二軍",8,IF(OR($E37="韓職一軍",$E37="KBO"),9,IF($E37&lt;&gt;"",10,99))))))))))</f>
        <v>7</v>
      </c>
      <c r="O37" s="25" t="str">
        <f>IF(AND($F37="投手",LEFT($H37,3)="YES",OR($E37="MLB",$E37="3A",$E37="2A",$E37="日職一軍",$E37="韓職一軍",$E37="KBO")),COUNT($O$3:O36)+1,"")</f>
        <v/>
      </c>
      <c r="P37" s="25" t="str">
        <f>IF(AND($F37&lt;&gt;"投手",$F37&lt;&gt;"",LEFT($H37,3)="YES",OR($E37="MLB",$E37="3A",$E37="2A",$E37="日職一軍",$E37="韓職一軍",$E37="KBO")),COUNT($P$3:P36)+1,"")</f>
        <v/>
      </c>
      <c r="Q37" s="60"/>
      <c r="R37" s="60"/>
      <c r="S37" s="60"/>
    </row>
    <row r="38" spans="1:27">
      <c r="A38" s="10"/>
      <c r="B38" s="10" t="s">
        <v>73</v>
      </c>
      <c r="C38" s="2" t="s">
        <v>185</v>
      </c>
      <c r="D38" s="10" t="s">
        <v>172</v>
      </c>
      <c r="E38" s="10" t="s">
        <v>183</v>
      </c>
      <c r="F38" s="69" t="s">
        <v>5</v>
      </c>
      <c r="G38" s="10" t="s">
        <v>179</v>
      </c>
      <c r="H38" s="68" t="s">
        <v>50</v>
      </c>
      <c r="I38" s="1"/>
      <c r="J38" s="1"/>
      <c r="K38" s="1"/>
      <c r="L38" s="66">
        <f t="shared" si="1"/>
        <v>4</v>
      </c>
      <c r="M38" s="66">
        <f t="array" ref="M38">IF($D38="旅美",1,IF($D38="旅日",2,IF($D38="旅韓",3,IF($D38="台裔",4,IF($D38&lt;&gt;"",5,99)))))</f>
        <v>2</v>
      </c>
      <c r="N38" s="1">
        <f t="array" ref="N38">IF($E38="MLB",1,IF($E38="3A",2,IF($E38="2A",3,IF(OR($E38="A+",$E38="高A"),4,IF($E38="1A",5,IF(OR($E38="RK",$E38="Rookie"),6,IF($E38="日職一軍",7,IF($E38="日職二軍",8,IF(OR($E38="韓職一軍",$E38="KBO"),9,IF($E38&lt;&gt;"",10,99))))))))))</f>
        <v>8</v>
      </c>
      <c r="O38" s="25" t="str">
        <f>IF(AND($F38="投手",LEFT($H38,3)="YES",OR($E38="MLB",$E38="3A",$E38="2A",$E38="日職一軍",$E38="韓職一軍",$E38="KBO")),COUNT($O$3:O37)+1,"")</f>
        <v/>
      </c>
      <c r="P38" s="25" t="str">
        <f>IF(AND($F38&lt;&gt;"投手",$F38&lt;&gt;"",LEFT($H38,3)="YES",OR($E38="MLB",$E38="3A",$E38="2A",$E38="日職一軍",$E38="韓職一軍",$E38="KBO")),COUNT($P$3:P37)+1,"")</f>
        <v/>
      </c>
      <c r="Q38" s="60"/>
      <c r="R38" s="60"/>
      <c r="S38" s="60"/>
    </row>
    <row r="39" spans="1:27">
      <c r="A39" s="10"/>
      <c r="B39" s="10" t="s">
        <v>74</v>
      </c>
      <c r="C39" s="2" t="s">
        <v>187</v>
      </c>
      <c r="D39" s="10" t="s">
        <v>172</v>
      </c>
      <c r="E39" s="10" t="s">
        <v>183</v>
      </c>
      <c r="F39" s="69" t="s">
        <v>188</v>
      </c>
      <c r="G39" s="10" t="s">
        <v>182</v>
      </c>
      <c r="H39" s="68" t="s">
        <v>50</v>
      </c>
      <c r="I39" s="1"/>
      <c r="J39" s="1"/>
      <c r="K39" s="1"/>
      <c r="L39" s="66">
        <f t="shared" si="1"/>
        <v>4</v>
      </c>
      <c r="M39" s="66">
        <f t="array" ref="M39">IF($D39="旅美",1,IF($D39="旅日",2,IF($D39="旅韓",3,IF($D39="台裔",4,IF($D39&lt;&gt;"",5,99)))))</f>
        <v>2</v>
      </c>
      <c r="N39" s="1">
        <f t="array" ref="N39">IF($E39="MLB",1,IF($E39="3A",2,IF($E39="2A",3,IF(OR($E39="A+",$E39="高A"),4,IF($E39="1A",5,IF(OR($E39="RK",$E39="Rookie"),6,IF($E39="日職一軍",7,IF($E39="日職二軍",8,IF(OR($E39="韓職一軍",$E39="KBO"),9,IF($E39&lt;&gt;"",10,99))))))))))</f>
        <v>8</v>
      </c>
      <c r="O39" s="25" t="str">
        <f>IF(AND($F39="投手",LEFT($H39,3)="YES",OR($E39="MLB",$E39="3A",$E39="2A",$E39="日職一軍",$E39="韓職一軍",$E39="KBO")),COUNT($O$3:O38)+1,"")</f>
        <v/>
      </c>
      <c r="P39" s="25" t="str">
        <f>IF(AND($F39&lt;&gt;"投手",$F39&lt;&gt;"",LEFT($H39,3)="YES",OR($E39="MLB",$E39="3A",$E39="2A",$E39="日職一軍",$E39="韓職一軍",$E39="KBO")),COUNT($P$3:P38)+1,"")</f>
        <v/>
      </c>
      <c r="Q39" s="60"/>
      <c r="R39" s="60"/>
      <c r="S39" s="60"/>
    </row>
    <row r="40" spans="1:27">
      <c r="A40" s="10"/>
      <c r="B40" s="10" t="s">
        <v>75</v>
      </c>
      <c r="C40" s="2" t="s">
        <v>203</v>
      </c>
      <c r="D40" s="10" t="s">
        <v>172</v>
      </c>
      <c r="E40" s="10" t="s">
        <v>183</v>
      </c>
      <c r="F40" s="69" t="s">
        <v>166</v>
      </c>
      <c r="G40" s="10" t="s">
        <v>175</v>
      </c>
      <c r="H40" s="68" t="s">
        <v>50</v>
      </c>
      <c r="I40" s="1"/>
      <c r="J40" s="1"/>
      <c r="K40" s="1"/>
      <c r="L40" s="66">
        <f t="shared" si="1"/>
        <v>4</v>
      </c>
      <c r="M40" s="66">
        <f t="array" ref="M40">IF($D40="旅美",1,IF($D40="旅日",2,IF($D40="旅韓",3,IF($D40="台裔",4,IF($D40&lt;&gt;"",5,99)))))</f>
        <v>2</v>
      </c>
      <c r="N40" s="1">
        <f t="array" ref="N40">IF($E40="MLB",1,IF($E40="3A",2,IF($E40="2A",3,IF(OR($E40="A+",$E40="高A"),4,IF($E40="1A",5,IF(OR($E40="RK",$E40="Rookie"),6,IF($E40="日職一軍",7,IF($E40="日職二軍",8,IF(OR($E40="韓職一軍",$E40="KBO"),9,IF($E40&lt;&gt;"",10,99))))))))))</f>
        <v>8</v>
      </c>
      <c r="O40" s="25" t="str">
        <f>IF(AND($F40="投手",LEFT($H40,3)="YES",OR($E40="MLB",$E40="3A",$E40="2A",$E40="日職一軍",$E40="韓職一軍",$E40="KBO")),COUNT($O$3:O39)+1,"")</f>
        <v/>
      </c>
      <c r="P40" s="25" t="str">
        <f>IF(AND($F40&lt;&gt;"投手",$F40&lt;&gt;"",LEFT($H40,3)="YES",OR($E40="MLB",$E40="3A",$E40="2A",$E40="日職一軍",$E40="韓職一軍",$E40="KBO")),COUNT($P$3:P39)+1,"")</f>
        <v/>
      </c>
      <c r="Q40" s="60"/>
      <c r="R40" s="60"/>
      <c r="S40" s="60"/>
    </row>
    <row r="41" spans="1:27">
      <c r="A41" s="1"/>
      <c r="B41" s="1" t="s">
        <v>76</v>
      </c>
      <c r="C41" s="2" t="s">
        <v>217</v>
      </c>
      <c r="D41" s="1" t="s">
        <v>218</v>
      </c>
      <c r="E41" s="25" t="s">
        <v>104</v>
      </c>
      <c r="F41" s="68" t="s">
        <v>146</v>
      </c>
      <c r="G41" s="1" t="s">
        <v>219</v>
      </c>
      <c r="H41" s="68" t="s">
        <v>29</v>
      </c>
      <c r="I41" s="1"/>
      <c r="J41" s="71" t="s">
        <v>77</v>
      </c>
      <c r="K41" s="71"/>
      <c r="L41" s="66">
        <f t="shared" si="1"/>
        <v>4</v>
      </c>
      <c r="M41" s="66">
        <f t="array" ref="M41">IF($D41="旅美",1,IF($D41="旅日",2,IF($D41="旅韓",3,IF($D41="台裔",4,IF($D41&lt;&gt;"",5,99)))))</f>
        <v>4</v>
      </c>
      <c r="N41" s="1">
        <f t="array" ref="N41">IF($E41="MLB",1,IF($E41="3A",2,IF($E41="2A",3,IF(OR($E41="A+",$E41="高A"),4,IF($E41="1A",5,IF(OR($E41="RK",$E41="Rookie"),6,IF($E41="日職一軍",7,IF($E41="日職二軍",8,IF(OR($E41="韓職一軍",$E41="KBO"),9,IF($E41&lt;&gt;"",10,99))))))))))</f>
        <v>1</v>
      </c>
      <c r="O41" s="25" t="str">
        <f>IF(AND($F41="投手",LEFT($H41,3)="YES",OR($E41="MLB",$E41="3A",$E41="2A",$E41="日職一軍",$E41="韓職一軍",$E41="KBO")),COUNT($O$3:O40)+1,"")</f>
        <v/>
      </c>
      <c r="P41" s="25">
        <f>IF(AND($F41&lt;&gt;"投手",$F41&lt;&gt;"",LEFT($H41,3)="YES",OR($E41="MLB",$E41="3A",$E41="2A",$E41="日職一軍",$E41="韓職一軍",$E41="KBO")),COUNT($P$3:P40)+1,"")</f>
        <v>2</v>
      </c>
      <c r="Q41" s="60"/>
      <c r="R41" s="60"/>
      <c r="S41" s="60"/>
    </row>
    <row r="42" spans="1:27">
      <c r="A42" s="1"/>
      <c r="B42" s="1" t="s">
        <v>78</v>
      </c>
      <c r="C42" s="2" t="s">
        <v>221</v>
      </c>
      <c r="D42" s="1" t="s">
        <v>218</v>
      </c>
      <c r="E42" s="1" t="s">
        <v>114</v>
      </c>
      <c r="F42" s="68" t="s">
        <v>166</v>
      </c>
      <c r="G42" s="1" t="s">
        <v>222</v>
      </c>
      <c r="H42" s="68" t="s">
        <v>29</v>
      </c>
      <c r="I42" s="1"/>
      <c r="J42" s="71" t="s">
        <v>79</v>
      </c>
      <c r="K42" s="71"/>
      <c r="L42" s="66">
        <f t="shared" si="1"/>
        <v>4</v>
      </c>
      <c r="M42" s="66">
        <f t="array" ref="M42">IF($D42="旅美",1,IF($D42="旅日",2,IF($D42="旅韓",3,IF($D42="台裔",4,IF($D42&lt;&gt;"",5,99)))))</f>
        <v>4</v>
      </c>
      <c r="N42" s="1">
        <f t="array" ref="N42">IF($E42="MLB",1,IF($E42="3A",2,IF($E42="2A",3,IF(OR($E42="A+",$E42="高A"),4,IF($E42="1A",5,IF(OR($E42="RK",$E42="Rookie"),6,IF($E42="日職一軍",7,IF($E42="日職二軍",8,IF(OR($E42="韓職一軍",$E42="KBO"),9,IF($E42&lt;&gt;"",10,99))))))))))</f>
        <v>2</v>
      </c>
      <c r="O42" s="25" t="str">
        <f>IF(AND($F42="投手",LEFT($H42,3)="YES",OR($E42="MLB",$E42="3A",$E42="2A",$E42="日職一軍",$E42="韓職一軍",$E42="KBO")),COUNT($O$3:O41)+1,"")</f>
        <v/>
      </c>
      <c r="P42" s="25">
        <f>IF(AND($F42&lt;&gt;"投手",$F42&lt;&gt;"",LEFT($H42,3)="YES",OR($E42="MLB",$E42="3A",$E42="2A",$E42="日職一軍",$E42="韓職一軍",$E42="KBO")),COUNT($P$3:P41)+1,"")</f>
        <v>3</v>
      </c>
      <c r="Q42" s="60"/>
      <c r="R42" s="60"/>
      <c r="S42" s="60"/>
    </row>
    <row r="43" spans="1:27">
      <c r="A43" s="1"/>
      <c r="B43" s="1" t="s">
        <v>80</v>
      </c>
      <c r="C43" s="2" t="s">
        <v>224</v>
      </c>
      <c r="D43" s="1" t="s">
        <v>218</v>
      </c>
      <c r="E43" s="1" t="s">
        <v>114</v>
      </c>
      <c r="F43" s="68" t="s">
        <v>146</v>
      </c>
      <c r="G43" s="1" t="s">
        <v>225</v>
      </c>
      <c r="H43" s="68" t="s">
        <v>50</v>
      </c>
      <c r="I43" s="1"/>
      <c r="L43" s="66">
        <f t="shared" si="1"/>
        <v>4</v>
      </c>
      <c r="M43" s="66">
        <f t="array" ref="M43">IF($D43="旅美",1,IF($D43="旅日",2,IF($D43="旅韓",3,IF($D43="台裔",4,IF($D43&lt;&gt;"",5,99)))))</f>
        <v>4</v>
      </c>
      <c r="N43" s="1">
        <f t="array" ref="N43">IF($E43="MLB",1,IF($E43="3A",2,IF($E43="2A",3,IF(OR($E43="A+",$E43="高A"),4,IF($E43="1A",5,IF(OR($E43="RK",$E43="Rookie"),6,IF($E43="日職一軍",7,IF($E43="日職二軍",8,IF(OR($E43="韓職一軍",$E43="KBO"),9,IF($E43&lt;&gt;"",10,99))))))))))</f>
        <v>2</v>
      </c>
      <c r="O43" s="25" t="str">
        <f>IF(AND($F43="投手",LEFT($H43,3)="YES",OR($E43="MLB",$E43="3A",$E43="2A",$E43="日職一軍",$E43="韓職一軍",$E43="KBO")),COUNT($O$3:O42)+1,"")</f>
        <v/>
      </c>
      <c r="P43" s="25" t="str">
        <f>IF(AND($F43&lt;&gt;"投手",$F43&lt;&gt;"",LEFT($H43,3)="YES",OR($E43="MLB",$E43="3A",$E43="2A",$E43="日職一軍",$E43="韓職一軍",$E43="KBO")),COUNT($P$3:P42)+1,"")</f>
        <v/>
      </c>
      <c r="Q43" s="60"/>
      <c r="R43" s="60"/>
      <c r="S43" s="60"/>
    </row>
    <row r="44" spans="1:27">
      <c r="A44" s="1"/>
      <c r="B44" s="1" t="s">
        <v>81</v>
      </c>
      <c r="C44" s="2" t="s">
        <v>227</v>
      </c>
      <c r="D44" s="1" t="s">
        <v>218</v>
      </c>
      <c r="E44" s="1" t="s">
        <v>135</v>
      </c>
      <c r="F44" s="68" t="s">
        <v>166</v>
      </c>
      <c r="G44" s="1" t="s">
        <v>228</v>
      </c>
      <c r="H44" s="68" t="s">
        <v>29</v>
      </c>
      <c r="I44" s="1"/>
      <c r="J44" s="25" t="s">
        <v>82</v>
      </c>
      <c r="L44" s="66">
        <f t="shared" si="1"/>
        <v>4</v>
      </c>
      <c r="M44" s="66">
        <f t="array" ref="M44">IF($D44="旅美",1,IF($D44="旅日",2,IF($D44="旅韓",3,IF($D44="台裔",4,IF($D44&lt;&gt;"",5,99)))))</f>
        <v>4</v>
      </c>
      <c r="N44" s="1">
        <f t="array" ref="N44">IF($E44="MLB",1,IF($E44="3A",2,IF($E44="2A",3,IF(OR($E44="A+",$E44="高A"),4,IF($E44="1A",5,IF(OR($E44="RK",$E44="Rookie"),6,IF($E44="日職一軍",7,IF($E44="日職二軍",8,IF(OR($E44="韓職一軍",$E44="KBO"),9,IF($E44&lt;&gt;"",10,99))))))))))</f>
        <v>4</v>
      </c>
      <c r="O44" s="25" t="str">
        <f>IF(AND($F44="投手",LEFT($H44,3)="YES",OR($E44="MLB",$E44="3A",$E44="2A",$E44="日職一軍",$E44="韓職一軍",$E44="KBO")),COUNT($O$3:O43)+1,"")</f>
        <v/>
      </c>
      <c r="P44" s="25" t="str">
        <f>IF(AND($F44&lt;&gt;"投手",$F44&lt;&gt;"",LEFT($H44,3)="YES",OR($E44="MLB",$E44="3A",$E44="2A",$E44="日職一軍",$E44="韓職一軍",$E44="KBO")),COUNT($P$3:P43)+1,"")</f>
        <v/>
      </c>
      <c r="Q44" s="60"/>
      <c r="R44" s="60"/>
      <c r="S44" s="60"/>
    </row>
    <row r="45" spans="1:27">
      <c r="A45" s="29"/>
      <c r="B45" s="29"/>
      <c r="C45" s="29"/>
      <c r="D45" s="29"/>
      <c r="E45" s="29"/>
      <c r="F45" s="29"/>
      <c r="G45" s="29"/>
      <c r="H45" s="29"/>
      <c r="I45" s="29">
        <f t="shared" ref="I45:I66" si="2">IF($A45="投手",1,IF($D45="投手",2,IF($A45="野手",3,IF(OR($D45="野手",$D45="內野手",$D45="外野手",$D45="捕手"),4,99))))</f>
        <v>99</v>
      </c>
      <c r="J45" s="29">
        <f t="shared" ref="J45:J108" si="3">IF($B45="旅美",1,IF($B45="旅日",2,IF($B45="旅韓",3,IF($B45="台裔",4,IF($B45&lt;&gt;"",5,99)))))</f>
        <v>99</v>
      </c>
      <c r="K45" s="29"/>
      <c r="L45" s="29">
        <f t="shared" ref="L45:L108" si="4">IF($C45="MLB",1,IF($C45="3A",2,IF($C45="2A",3,IF(OR($C45="A+",$C45="高A"),4,IF($C45="1A",5,IF(OR($C45="RK",$C45="Rookie"),6,IF($C45="日職一軍",7,IF($C45="日職二軍",8,IF(OR($C45="韓職一軍",$C45="KBO"),9,IF($C45&lt;&gt;"",10,99))))))))))</f>
        <v>99</v>
      </c>
      <c r="M45" s="29" t="str">
        <f>IF(AND($D45="投手",LEFT($F45,3)="YES",OR($C45="MLB",$C45="3A",$C45="2A",$C45="日職一軍",$C45="韓職一軍",$C45="KBO")),COUNT($O$3:O44)+1,"")</f>
        <v/>
      </c>
      <c r="N45" s="29" t="str">
        <f>IF(AND($D45&lt;&gt;"投手",$D45&lt;&gt;"",LEFT($F45,3)="YES",OR($C45="MLB",$C45="3A",$C45="2A",$C45="日職一軍",$C45="韓職一軍",$C45="KBO")),COUNT($P$3:P44)+1,"")</f>
        <v/>
      </c>
      <c r="O45" s="29" t="str">
        <f>IF(AND($D45="投手",$F45="YES",OR($C45="MLB",$C45="一軍",$C45="KBO",$C45="3A",$C45="2A")),COUNT($O$2:O44)+1,"")</f>
        <v/>
      </c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 spans="1:27">
      <c r="A46" s="29"/>
      <c r="B46" s="29"/>
      <c r="C46" s="29"/>
      <c r="D46" s="29"/>
      <c r="E46" s="29"/>
      <c r="F46" s="29"/>
      <c r="G46" s="29"/>
      <c r="H46" s="29"/>
      <c r="I46" s="29">
        <f t="shared" si="2"/>
        <v>99</v>
      </c>
      <c r="J46" s="29">
        <f t="shared" si="3"/>
        <v>99</v>
      </c>
      <c r="K46" s="29"/>
      <c r="L46" s="29">
        <f t="shared" si="4"/>
        <v>99</v>
      </c>
      <c r="M46" s="29" t="str">
        <f>IF(AND($D46="投手",LEFT($F46,3)="YES",OR($C46="MLB",$C46="3A",$C46="2A",$C46="日職一軍",$C46="韓職一軍",$C46="KBO")),COUNT($M$3:M45)+1,"")</f>
        <v/>
      </c>
      <c r="N46" s="29" t="str">
        <f>IF(AND($D46&lt;&gt;"投手",$D46&lt;&gt;"",LEFT($F46,3)="YES",OR($C46="MLB",$C46="3A",$C46="2A",$C46="日職一軍",$C46="韓職一軍",$C46="KBO")),COUNT($N$3:N45)+1,"")</f>
        <v/>
      </c>
      <c r="O46" s="29" t="str">
        <f>IF(AND($D46="投手",$F46="YES",OR($C46="MLB",$C46="一軍",$C46="KBO",$C46="3A",$C46="2A")),COUNT($O$2:O45)+1,"")</f>
        <v/>
      </c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 spans="1:27">
      <c r="A47" s="29"/>
      <c r="B47" s="29"/>
      <c r="C47" s="29"/>
      <c r="D47" s="29"/>
      <c r="E47" s="29"/>
      <c r="F47" s="29"/>
      <c r="G47" s="29"/>
      <c r="H47" s="29"/>
      <c r="I47" s="29">
        <f t="shared" si="2"/>
        <v>99</v>
      </c>
      <c r="J47" s="29">
        <f t="shared" si="3"/>
        <v>99</v>
      </c>
      <c r="K47" s="29"/>
      <c r="L47" s="29">
        <f t="shared" si="4"/>
        <v>99</v>
      </c>
      <c r="M47" s="29" t="str">
        <f>IF(AND($D47="投手",LEFT($F47,3)="YES",OR($C47="MLB",$C47="3A",$C47="2A",$C47="日職一軍",$C47="韓職一軍",$C47="KBO")),COUNT($M$3:M46)+1,"")</f>
        <v/>
      </c>
      <c r="N47" s="29" t="str">
        <f>IF(AND($D47&lt;&gt;"投手",$D47&lt;&gt;"",LEFT($F47,3)="YES",OR($C47="MLB",$C47="3A",$C47="2A",$C47="日職一軍",$C47="韓職一軍",$C47="KBO")),COUNT($N$3:N46)+1,"")</f>
        <v/>
      </c>
      <c r="O47" s="29" t="str">
        <f>IF(AND($D47="投手",$F47="YES",OR($C47="MLB",$C47="一軍",$C47="KBO",$C47="3A",$C47="2A")),COUNT($O$2:O46)+1,"")</f>
        <v/>
      </c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 spans="1:27">
      <c r="A48" s="29"/>
      <c r="B48" s="29"/>
      <c r="C48" s="29"/>
      <c r="D48" s="29"/>
      <c r="E48" s="29"/>
      <c r="F48" s="29"/>
      <c r="G48" s="29"/>
      <c r="H48" s="29"/>
      <c r="I48" s="29">
        <f t="shared" si="2"/>
        <v>99</v>
      </c>
      <c r="J48" s="29">
        <f t="shared" si="3"/>
        <v>99</v>
      </c>
      <c r="K48" s="29"/>
      <c r="L48" s="29">
        <f t="shared" si="4"/>
        <v>99</v>
      </c>
      <c r="M48" s="29" t="str">
        <f>IF(AND($D48="投手",LEFT($F48,3)="YES",OR($C48="MLB",$C48="3A",$C48="2A",$C48="日職一軍",$C48="韓職一軍",$C48="KBO")),COUNT($M$3:M47)+1,"")</f>
        <v/>
      </c>
      <c r="N48" s="29" t="str">
        <f>IF(AND($D48&lt;&gt;"投手",$D48&lt;&gt;"",LEFT($F48,3)="YES",OR($C48="MLB",$C48="3A",$C48="2A",$C48="日職一軍",$C48="韓職一軍",$C48="KBO")),COUNT($N$3:N47)+1,"")</f>
        <v/>
      </c>
      <c r="O48" s="29" t="str">
        <f>IF(AND($D48="投手",$F48="YES",OR($C48="MLB",$C48="一軍",$C48="KBO",$C48="3A",$C48="2A")),COUNT($O$2:O47)+1,"")</f>
        <v/>
      </c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 spans="1:27">
      <c r="A49" s="29"/>
      <c r="B49" s="29"/>
      <c r="C49" s="29"/>
      <c r="D49" s="29"/>
      <c r="E49" s="29"/>
      <c r="F49" s="29"/>
      <c r="G49" s="29"/>
      <c r="H49" s="29"/>
      <c r="I49" s="29">
        <f t="shared" si="2"/>
        <v>99</v>
      </c>
      <c r="J49" s="29">
        <f t="shared" si="3"/>
        <v>99</v>
      </c>
      <c r="K49" s="29"/>
      <c r="L49" s="29">
        <f t="shared" si="4"/>
        <v>99</v>
      </c>
      <c r="M49" s="29" t="str">
        <f>IF(AND($D49="投手",LEFT($F49,3)="YES",OR($C49="MLB",$C49="3A",$C49="2A",$C49="日職一軍",$C49="韓職一軍",$C49="KBO")),COUNT($M$3:M48)+1,"")</f>
        <v/>
      </c>
      <c r="N49" s="29" t="str">
        <f>IF(AND($D49&lt;&gt;"投手",$D49&lt;&gt;"",LEFT($F49,3)="YES",OR($C49="MLB",$C49="3A",$C49="2A",$C49="日職一軍",$C49="韓職一軍",$C49="KBO")),COUNT($N$3:N48)+1,"")</f>
        <v/>
      </c>
      <c r="O49" s="29" t="str">
        <f>IF(AND($D49="投手",$F49="YES",OR($C49="MLB",$C49="一軍",$C49="KBO",$C49="3A",$C49="2A")),COUNT($O$2:O48)+1,"")</f>
        <v/>
      </c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 spans="1:27">
      <c r="A50" s="29"/>
      <c r="B50" s="29"/>
      <c r="C50" s="29"/>
      <c r="D50" s="29"/>
      <c r="E50" s="29"/>
      <c r="F50" s="29"/>
      <c r="G50" s="29"/>
      <c r="H50" s="29"/>
      <c r="I50" s="29">
        <f t="shared" si="2"/>
        <v>99</v>
      </c>
      <c r="J50" s="29">
        <f t="shared" si="3"/>
        <v>99</v>
      </c>
      <c r="K50" s="29"/>
      <c r="L50" s="29">
        <f t="shared" si="4"/>
        <v>99</v>
      </c>
      <c r="M50" s="29" t="str">
        <f>IF(AND($D50="投手",LEFT($F50,3)="YES",OR($C50="MLB",$C50="3A",$C50="2A",$C50="日職一軍",$C50="韓職一軍",$C50="KBO")),COUNT($M$3:M49)+1,"")</f>
        <v/>
      </c>
      <c r="N50" s="29" t="str">
        <f>IF(AND($D50&lt;&gt;"投手",$D50&lt;&gt;"",LEFT($F50,3)="YES",OR($C50="MLB",$C50="3A",$C50="2A",$C50="日職一軍",$C50="韓職一軍",$C50="KBO")),COUNT($N$3:N49)+1,"")</f>
        <v/>
      </c>
      <c r="O50" s="29" t="str">
        <f>IF(AND($D50="投手",$F50="YES",OR($C50="MLB",$C50="一軍",$C50="KBO",$C50="3A",$C50="2A")),COUNT($O$2:O49)+1,"")</f>
        <v/>
      </c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 spans="1:27">
      <c r="A51" s="29"/>
      <c r="B51" s="29"/>
      <c r="C51" s="29"/>
      <c r="D51" s="29"/>
      <c r="E51" s="29"/>
      <c r="F51" s="29"/>
      <c r="G51" s="29"/>
      <c r="H51" s="29"/>
      <c r="I51" s="29">
        <f t="shared" si="2"/>
        <v>99</v>
      </c>
      <c r="J51" s="29">
        <f t="shared" si="3"/>
        <v>99</v>
      </c>
      <c r="K51" s="29"/>
      <c r="L51" s="29">
        <f t="shared" si="4"/>
        <v>99</v>
      </c>
      <c r="M51" s="29" t="str">
        <f>IF(AND($D51="投手",LEFT($F51,3)="YES",OR($C51="MLB",$C51="3A",$C51="2A",$C51="日職一軍",$C51="韓職一軍",$C51="KBO")),COUNT($M$3:M50)+1,"")</f>
        <v/>
      </c>
      <c r="N51" s="29" t="str">
        <f>IF(AND($D51&lt;&gt;"投手",$D51&lt;&gt;"",LEFT($F51,3)="YES",OR($C51="MLB",$C51="3A",$C51="2A",$C51="日職一軍",$C51="韓職一軍",$C51="KBO")),COUNT($N$3:N50)+1,"")</f>
        <v/>
      </c>
      <c r="O51" s="29" t="str">
        <f>IF(AND($D51="投手",$F51="YES",OR($C51="MLB",$C51="一軍",$C51="KBO",$C51="3A",$C51="2A")),COUNT($O$2:O50)+1,"")</f>
        <v/>
      </c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 spans="1:27">
      <c r="A52" s="29"/>
      <c r="B52" s="29"/>
      <c r="C52" s="29"/>
      <c r="D52" s="29"/>
      <c r="E52" s="29"/>
      <c r="F52" s="29"/>
      <c r="G52" s="29"/>
      <c r="H52" s="29"/>
      <c r="I52" s="29">
        <f t="shared" si="2"/>
        <v>99</v>
      </c>
      <c r="J52" s="29">
        <f t="shared" si="3"/>
        <v>99</v>
      </c>
      <c r="K52" s="29"/>
      <c r="L52" s="29">
        <f t="shared" si="4"/>
        <v>99</v>
      </c>
      <c r="M52" s="29" t="str">
        <f>IF(AND($D52="投手",LEFT($F52,3)="YES",OR($C52="MLB",$C52="3A",$C52="2A",$C52="日職一軍",$C52="韓職一軍",$C52="KBO")),COUNT($M$3:M51)+1,"")</f>
        <v/>
      </c>
      <c r="N52" s="29" t="str">
        <f>IF(AND($D52&lt;&gt;"投手",$D52&lt;&gt;"",LEFT($F52,3)="YES",OR($C52="MLB",$C52="3A",$C52="2A",$C52="日職一軍",$C52="韓職一軍",$C52="KBO")),COUNT($N$3:N51)+1,"")</f>
        <v/>
      </c>
      <c r="O52" s="29" t="str">
        <f>IF(AND($D52="投手",$F52="YES",OR($C52="MLB",$C52="一軍",$C52="KBO",$C52="3A",$C52="2A")),COUNT($O$2:O51)+1,"")</f>
        <v/>
      </c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 spans="1:27">
      <c r="A53" s="29"/>
      <c r="B53" s="29"/>
      <c r="C53" s="29"/>
      <c r="D53" s="29"/>
      <c r="E53" s="29"/>
      <c r="F53" s="29"/>
      <c r="G53" s="29"/>
      <c r="H53" s="29"/>
      <c r="I53" s="29">
        <f t="shared" si="2"/>
        <v>99</v>
      </c>
      <c r="J53" s="29">
        <f t="shared" si="3"/>
        <v>99</v>
      </c>
      <c r="K53" s="29"/>
      <c r="L53" s="29">
        <f t="shared" si="4"/>
        <v>99</v>
      </c>
      <c r="M53" s="29" t="str">
        <f>IF(AND($D53="投手",LEFT($F53,3)="YES",OR($C53="MLB",$C53="3A",$C53="2A",$C53="日職一軍",$C53="韓職一軍",$C53="KBO")),COUNT($M$3:M52)+1,"")</f>
        <v/>
      </c>
      <c r="N53" s="29" t="str">
        <f>IF(AND($D53&lt;&gt;"投手",$D53&lt;&gt;"",LEFT($F53,3)="YES",OR($C53="MLB",$C53="3A",$C53="2A",$C53="日職一軍",$C53="韓職一軍",$C53="KBO")),COUNT($N$3:N52)+1,"")</f>
        <v/>
      </c>
      <c r="O53" s="29" t="str">
        <f>IF(AND($D53="投手",$F53="YES",OR($C53="MLB",$C53="一軍",$C53="KBO",$C53="3A",$C53="2A")),COUNT($O$2:O52)+1,"")</f>
        <v/>
      </c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 spans="1:27">
      <c r="A54" s="29"/>
      <c r="B54" s="29"/>
      <c r="C54" s="29"/>
      <c r="D54" s="29"/>
      <c r="E54" s="29"/>
      <c r="F54" s="29"/>
      <c r="G54" s="29"/>
      <c r="H54" s="29"/>
      <c r="I54" s="29">
        <f t="shared" si="2"/>
        <v>99</v>
      </c>
      <c r="J54" s="29">
        <f t="shared" si="3"/>
        <v>99</v>
      </c>
      <c r="K54" s="29"/>
      <c r="L54" s="29">
        <f t="shared" si="4"/>
        <v>99</v>
      </c>
      <c r="M54" s="29" t="str">
        <f>IF(AND($D54="投手",LEFT($F54,3)="YES",OR($C54="MLB",$C54="3A",$C54="2A",$C54="日職一軍",$C54="韓職一軍",$C54="KBO")),COUNT($M$3:M53)+1,"")</f>
        <v/>
      </c>
      <c r="N54" s="29" t="str">
        <f>IF(AND($D54&lt;&gt;"投手",$D54&lt;&gt;"",LEFT($F54,3)="YES",OR($C54="MLB",$C54="3A",$C54="2A",$C54="日職一軍",$C54="韓職一軍",$C54="KBO")),COUNT($N$3:N53)+1,"")</f>
        <v/>
      </c>
      <c r="O54" s="29" t="str">
        <f>IF(AND($D54="投手",$F54="YES",OR($C54="MLB",$C54="一軍",$C54="KBO",$C54="3A",$C54="2A")),COUNT($O$2:O53)+1,"")</f>
        <v/>
      </c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spans="1:27">
      <c r="A55" s="29"/>
      <c r="B55" s="29"/>
      <c r="C55" s="29"/>
      <c r="D55" s="29"/>
      <c r="E55" s="29"/>
      <c r="F55" s="29"/>
      <c r="G55" s="29"/>
      <c r="H55" s="29"/>
      <c r="I55" s="29">
        <f t="shared" si="2"/>
        <v>99</v>
      </c>
      <c r="J55" s="29">
        <f t="shared" si="3"/>
        <v>99</v>
      </c>
      <c r="K55" s="29"/>
      <c r="L55" s="29">
        <f t="shared" si="4"/>
        <v>99</v>
      </c>
      <c r="M55" s="29" t="str">
        <f>IF(AND($D55="投手",LEFT($F55,3)="YES",OR($C55="MLB",$C55="3A",$C55="2A",$C55="日職一軍",$C55="韓職一軍",$C55="KBO")),COUNT($M$3:M54)+1,"")</f>
        <v/>
      </c>
      <c r="N55" s="29" t="str">
        <f>IF(AND($D55&lt;&gt;"投手",$D55&lt;&gt;"",LEFT($F55,3)="YES",OR($C55="MLB",$C55="3A",$C55="2A",$C55="日職一軍",$C55="韓職一軍",$C55="KBO")),COUNT($N$3:N54)+1,"")</f>
        <v/>
      </c>
      <c r="O55" s="29" t="str">
        <f>IF(AND($D55="投手",$F55="YES",OR($C55="MLB",$C55="一軍",$C55="KBO",$C55="3A",$C55="2A")),COUNT($O$2:O54)+1,"")</f>
        <v/>
      </c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 spans="1:27">
      <c r="A56" s="29"/>
      <c r="B56" s="29"/>
      <c r="C56" s="29"/>
      <c r="D56" s="29"/>
      <c r="E56" s="29"/>
      <c r="F56" s="29"/>
      <c r="G56" s="29"/>
      <c r="H56" s="29"/>
      <c r="I56" s="29">
        <f t="shared" si="2"/>
        <v>99</v>
      </c>
      <c r="J56" s="29">
        <f t="shared" si="3"/>
        <v>99</v>
      </c>
      <c r="K56" s="29"/>
      <c r="L56" s="29">
        <f t="shared" si="4"/>
        <v>99</v>
      </c>
      <c r="M56" s="29" t="str">
        <f>IF(AND($D56="投手",LEFT($F56,3)="YES",OR($C56="MLB",$C56="3A",$C56="2A",$C56="日職一軍",$C56="韓職一軍",$C56="KBO")),COUNT($M$3:M55)+1,"")</f>
        <v/>
      </c>
      <c r="N56" s="29" t="str">
        <f>IF(AND($D56&lt;&gt;"投手",$D56&lt;&gt;"",LEFT($F56,3)="YES",OR($C56="MLB",$C56="3A",$C56="2A",$C56="日職一軍",$C56="韓職一軍",$C56="KBO")),COUNT($N$3:N55)+1,"")</f>
        <v/>
      </c>
      <c r="O56" s="29" t="str">
        <f>IF(AND($D56="投手",$F56="YES",OR($C56="MLB",$C56="一軍",$C56="KBO",$C56="3A",$C56="2A")),COUNT($O$2:O55)+1,"")</f>
        <v/>
      </c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 spans="1:27">
      <c r="A57" s="29"/>
      <c r="B57" s="29"/>
      <c r="C57" s="29"/>
      <c r="D57" s="29"/>
      <c r="E57" s="29"/>
      <c r="F57" s="29"/>
      <c r="G57" s="29"/>
      <c r="H57" s="29"/>
      <c r="I57" s="29">
        <f t="shared" si="2"/>
        <v>99</v>
      </c>
      <c r="J57" s="29">
        <f t="shared" si="3"/>
        <v>99</v>
      </c>
      <c r="K57" s="29"/>
      <c r="L57" s="29">
        <f t="shared" si="4"/>
        <v>99</v>
      </c>
      <c r="M57" s="29" t="str">
        <f>IF(AND($D57="投手",LEFT($F57,3)="YES",OR($C57="MLB",$C57="3A",$C57="2A",$C57="日職一軍",$C57="韓職一軍",$C57="KBO")),COUNT($M$3:M56)+1,"")</f>
        <v/>
      </c>
      <c r="N57" s="29" t="str">
        <f>IF(AND($D57&lt;&gt;"投手",$D57&lt;&gt;"",LEFT($F57,3)="YES",OR($C57="MLB",$C57="3A",$C57="2A",$C57="日職一軍",$C57="韓職一軍",$C57="KBO")),COUNT($N$3:N56)+1,"")</f>
        <v/>
      </c>
      <c r="O57" s="29" t="str">
        <f>IF(AND($D57="投手",$F57="YES",OR($C57="MLB",$C57="一軍",$C57="KBO",$C57="3A",$C57="2A")),COUNT($O$2:O56)+1,"")</f>
        <v/>
      </c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 spans="1:27">
      <c r="A58" s="29"/>
      <c r="B58" s="29"/>
      <c r="C58" s="29"/>
      <c r="D58" s="29"/>
      <c r="E58" s="29"/>
      <c r="F58" s="29"/>
      <c r="G58" s="29"/>
      <c r="H58" s="29"/>
      <c r="I58" s="29">
        <f t="shared" si="2"/>
        <v>99</v>
      </c>
      <c r="J58" s="29">
        <f t="shared" si="3"/>
        <v>99</v>
      </c>
      <c r="K58" s="29"/>
      <c r="L58" s="29">
        <f t="shared" si="4"/>
        <v>99</v>
      </c>
      <c r="M58" s="29" t="str">
        <f>IF(AND($D58="投手",LEFT($F58,3)="YES",OR($C58="MLB",$C58="3A",$C58="2A",$C58="日職一軍",$C58="韓職一軍",$C58="KBO")),COUNT($M$3:M57)+1,"")</f>
        <v/>
      </c>
      <c r="N58" s="29" t="str">
        <f>IF(AND($D58&lt;&gt;"投手",$D58&lt;&gt;"",LEFT($F58,3)="YES",OR($C58="MLB",$C58="3A",$C58="2A",$C58="日職一軍",$C58="韓職一軍",$C58="KBO")),COUNT($N$3:N57)+1,"")</f>
        <v/>
      </c>
      <c r="O58" s="29" t="str">
        <f>IF(AND($D58="投手",$F58="YES",OR($C58="MLB",$C58="一軍",$C58="KBO",$C58="3A",$C58="2A")),COUNT($O$2:O57)+1,"")</f>
        <v/>
      </c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 spans="1:27">
      <c r="A59" s="29"/>
      <c r="B59" s="29"/>
      <c r="C59" s="29"/>
      <c r="D59" s="29"/>
      <c r="E59" s="29"/>
      <c r="F59" s="29"/>
      <c r="G59" s="29"/>
      <c r="H59" s="29"/>
      <c r="I59" s="29">
        <f t="shared" si="2"/>
        <v>99</v>
      </c>
      <c r="J59" s="29">
        <f t="shared" si="3"/>
        <v>99</v>
      </c>
      <c r="K59" s="29"/>
      <c r="L59" s="29">
        <f t="shared" si="4"/>
        <v>99</v>
      </c>
      <c r="M59" s="29" t="str">
        <f>IF(AND($D59="投手",LEFT($F59,3)="YES",OR($C59="MLB",$C59="3A",$C59="2A",$C59="日職一軍",$C59="韓職一軍",$C59="KBO")),COUNT($M$3:M58)+1,"")</f>
        <v/>
      </c>
      <c r="N59" s="29" t="str">
        <f>IF(AND($D59&lt;&gt;"投手",$D59&lt;&gt;"",LEFT($F59,3)="YES",OR($C59="MLB",$C59="3A",$C59="2A",$C59="日職一軍",$C59="韓職一軍",$C59="KBO")),COUNT($N$3:N58)+1,"")</f>
        <v/>
      </c>
      <c r="O59" s="29" t="str">
        <f>IF(AND($D59="投手",$F59="YES",OR($C59="MLB",$C59="一軍",$C59="KBO",$C59="3A",$C59="2A")),COUNT($O$2:O58)+1,"")</f>
        <v/>
      </c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 spans="1:27">
      <c r="A60" s="29"/>
      <c r="B60" s="29"/>
      <c r="C60" s="29"/>
      <c r="D60" s="29"/>
      <c r="E60" s="29"/>
      <c r="F60" s="29"/>
      <c r="G60" s="29"/>
      <c r="H60" s="29"/>
      <c r="I60" s="29">
        <f t="shared" si="2"/>
        <v>99</v>
      </c>
      <c r="J60" s="29">
        <f t="shared" si="3"/>
        <v>99</v>
      </c>
      <c r="K60" s="29"/>
      <c r="L60" s="29">
        <f t="shared" si="4"/>
        <v>99</v>
      </c>
      <c r="M60" s="29" t="str">
        <f>IF(AND($D60="投手",LEFT($F60,3)="YES",OR($C60="MLB",$C60="3A",$C60="2A",$C60="日職一軍",$C60="韓職一軍",$C60="KBO")),COUNT($M$3:M59)+1,"")</f>
        <v/>
      </c>
      <c r="N60" s="29" t="str">
        <f>IF(AND($D60&lt;&gt;"投手",$D60&lt;&gt;"",LEFT($F60,3)="YES",OR($C60="MLB",$C60="3A",$C60="2A",$C60="日職一軍",$C60="韓職一軍",$C60="KBO")),COUNT($N$3:N59)+1,"")</f>
        <v/>
      </c>
      <c r="O60" s="29" t="str">
        <f>IF(AND($D60="投手",$F60="YES",OR($C60="MLB",$C60="一軍",$C60="KBO",$C60="3A",$C60="2A")),COUNT($O$2:O59)+1,"")</f>
        <v/>
      </c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 spans="1:27">
      <c r="A61" s="29"/>
      <c r="B61" s="29"/>
      <c r="C61" s="29"/>
      <c r="D61" s="29"/>
      <c r="E61" s="29"/>
      <c r="F61" s="29"/>
      <c r="G61" s="29"/>
      <c r="H61" s="29"/>
      <c r="I61" s="29">
        <f t="shared" si="2"/>
        <v>99</v>
      </c>
      <c r="J61" s="29">
        <f t="shared" si="3"/>
        <v>99</v>
      </c>
      <c r="K61" s="29"/>
      <c r="L61" s="29">
        <f t="shared" si="4"/>
        <v>99</v>
      </c>
      <c r="M61" s="29" t="str">
        <f>IF(AND($D61="投手",LEFT($F61,3)="YES",OR($C61="MLB",$C61="3A",$C61="2A",$C61="日職一軍",$C61="韓職一軍",$C61="KBO")),COUNT($M$3:M60)+1,"")</f>
        <v/>
      </c>
      <c r="N61" s="29" t="str">
        <f>IF(AND($D61&lt;&gt;"投手",$D61&lt;&gt;"",LEFT($F61,3)="YES",OR($C61="MLB",$C61="3A",$C61="2A",$C61="日職一軍",$C61="韓職一軍",$C61="KBO")),COUNT($N$3:N60)+1,"")</f>
        <v/>
      </c>
      <c r="O61" s="29" t="str">
        <f>IF(AND($D61="投手",$F61="YES",OR($C61="MLB",$C61="一軍",$C61="KBO",$C61="3A",$C61="2A")),COUNT($O$2:O60)+1,"")</f>
        <v/>
      </c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 spans="1:27">
      <c r="A62" s="29"/>
      <c r="B62" s="29"/>
      <c r="C62" s="29"/>
      <c r="D62" s="29"/>
      <c r="E62" s="29"/>
      <c r="F62" s="29"/>
      <c r="G62" s="29"/>
      <c r="H62" s="29"/>
      <c r="I62" s="29">
        <f t="shared" si="2"/>
        <v>99</v>
      </c>
      <c r="J62" s="29">
        <f t="shared" si="3"/>
        <v>99</v>
      </c>
      <c r="K62" s="29"/>
      <c r="L62" s="29">
        <f t="shared" si="4"/>
        <v>99</v>
      </c>
      <c r="M62" s="29" t="str">
        <f>IF(AND($D62="投手",LEFT($F62,3)="YES",OR($C62="MLB",$C62="3A",$C62="2A",$C62="日職一軍",$C62="韓職一軍",$C62="KBO")),COUNT($M$3:M61)+1,"")</f>
        <v/>
      </c>
      <c r="N62" s="29" t="str">
        <f>IF(AND($D62&lt;&gt;"投手",$D62&lt;&gt;"",LEFT($F62,3)="YES",OR($C62="MLB",$C62="3A",$C62="2A",$C62="日職一軍",$C62="韓職一軍",$C62="KBO")),COUNT($N$3:N61)+1,"")</f>
        <v/>
      </c>
      <c r="O62" s="29" t="str">
        <f>IF(AND($D62="投手",$F62="YES",OR($C62="MLB",$C62="一軍",$C62="KBO",$C62="3A",$C62="2A")),COUNT($O$2:O61)+1,"")</f>
        <v/>
      </c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 spans="1:27">
      <c r="A63" s="29"/>
      <c r="B63" s="29"/>
      <c r="C63" s="29"/>
      <c r="D63" s="29"/>
      <c r="E63" s="29"/>
      <c r="F63" s="29"/>
      <c r="G63" s="29"/>
      <c r="H63" s="29"/>
      <c r="I63" s="29">
        <f t="shared" si="2"/>
        <v>99</v>
      </c>
      <c r="J63" s="29">
        <f t="shared" si="3"/>
        <v>99</v>
      </c>
      <c r="K63" s="29"/>
      <c r="L63" s="29">
        <f t="shared" si="4"/>
        <v>99</v>
      </c>
      <c r="M63" s="29" t="str">
        <f>IF(AND($D63="投手",LEFT($F63,3)="YES",OR($C63="MLB",$C63="3A",$C63="2A",$C63="日職一軍",$C63="韓職一軍",$C63="KBO")),COUNT($M$3:M62)+1,"")</f>
        <v/>
      </c>
      <c r="N63" s="29" t="str">
        <f>IF(AND($D63&lt;&gt;"投手",$D63&lt;&gt;"",LEFT($F63,3)="YES",OR($C63="MLB",$C63="3A",$C63="2A",$C63="日職一軍",$C63="韓職一軍",$C63="KBO")),COUNT($N$3:N62)+1,"")</f>
        <v/>
      </c>
      <c r="O63" s="29" t="str">
        <f>IF(AND($D63="投手",$F63="YES",OR($C63="MLB",$C63="一軍",$C63="KBO",$C63="3A",$C63="2A")),COUNT($O$2:O62)+1,"")</f>
        <v/>
      </c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 spans="1:27">
      <c r="A64" s="29"/>
      <c r="B64" s="29"/>
      <c r="C64" s="29"/>
      <c r="D64" s="29"/>
      <c r="E64" s="29"/>
      <c r="F64" s="29"/>
      <c r="G64" s="29"/>
      <c r="H64" s="29"/>
      <c r="I64" s="29">
        <f t="shared" si="2"/>
        <v>99</v>
      </c>
      <c r="J64" s="29">
        <f t="shared" si="3"/>
        <v>99</v>
      </c>
      <c r="K64" s="29"/>
      <c r="L64" s="29">
        <f t="shared" si="4"/>
        <v>99</v>
      </c>
      <c r="M64" s="29" t="str">
        <f>IF(AND($D64="投手",LEFT($F64,3)="YES",OR($C64="MLB",$C64="3A",$C64="2A",$C64="日職一軍",$C64="韓職一軍",$C64="KBO")),COUNT($M$3:M63)+1,"")</f>
        <v/>
      </c>
      <c r="N64" s="29" t="str">
        <f>IF(AND($D64&lt;&gt;"投手",$D64&lt;&gt;"",LEFT($F64,3)="YES",OR($C64="MLB",$C64="3A",$C64="2A",$C64="日職一軍",$C64="韓職一軍",$C64="KBO")),COUNT($N$3:N63)+1,"")</f>
        <v/>
      </c>
      <c r="O64" s="29" t="str">
        <f>IF(AND($D64="投手",$F64="YES",OR($C64="MLB",$C64="一軍",$C64="KBO",$C64="3A",$C64="2A")),COUNT($O$2:O63)+1,"")</f>
        <v/>
      </c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 spans="1:27">
      <c r="A65" s="29"/>
      <c r="B65" s="29"/>
      <c r="C65" s="29"/>
      <c r="D65" s="29"/>
      <c r="E65" s="29"/>
      <c r="F65" s="29"/>
      <c r="G65" s="29"/>
      <c r="H65" s="29"/>
      <c r="I65" s="29">
        <f t="shared" si="2"/>
        <v>99</v>
      </c>
      <c r="J65" s="29">
        <f t="shared" si="3"/>
        <v>99</v>
      </c>
      <c r="K65" s="29"/>
      <c r="L65" s="29">
        <f t="shared" si="4"/>
        <v>99</v>
      </c>
      <c r="M65" s="29" t="str">
        <f>IF(AND($D65="投手",LEFT($F65,3)="YES",OR($C65="MLB",$C65="3A",$C65="2A",$C65="日職一軍",$C65="韓職一軍",$C65="KBO")),COUNT($M$3:M64)+1,"")</f>
        <v/>
      </c>
      <c r="N65" s="29" t="str">
        <f>IF(AND($D65&lt;&gt;"投手",$D65&lt;&gt;"",LEFT($F65,3)="YES",OR($C65="MLB",$C65="3A",$C65="2A",$C65="日職一軍",$C65="韓職一軍",$C65="KBO")),COUNT($N$3:N64)+1,"")</f>
        <v/>
      </c>
      <c r="O65" s="29" t="str">
        <f>IF(AND($D65="投手",$F65="YES",OR($C65="MLB",$C65="一軍",$C65="KBO",$C65="3A",$C65="2A")),COUNT($O$2:O64)+1,"")</f>
        <v/>
      </c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 spans="1:27">
      <c r="A66" s="29"/>
      <c r="B66" s="29"/>
      <c r="C66" s="29"/>
      <c r="D66" s="29"/>
      <c r="E66" s="29"/>
      <c r="F66" s="29"/>
      <c r="G66" s="29"/>
      <c r="H66" s="29"/>
      <c r="I66" s="29">
        <f t="shared" si="2"/>
        <v>99</v>
      </c>
      <c r="J66" s="29">
        <f t="shared" si="3"/>
        <v>99</v>
      </c>
      <c r="K66" s="29"/>
      <c r="L66" s="29">
        <f t="shared" si="4"/>
        <v>99</v>
      </c>
      <c r="M66" s="29" t="str">
        <f>IF(AND($D66="投手",LEFT($F66,3)="YES",OR($C66="MLB",$C66="3A",$C66="2A",$C66="日職一軍",$C66="韓職一軍",$C66="KBO")),COUNT($M$3:M65)+1,"")</f>
        <v/>
      </c>
      <c r="N66" s="29" t="str">
        <f>IF(AND($D66&lt;&gt;"投手",$D66&lt;&gt;"",LEFT($F66,3)="YES",OR($C66="MLB",$C66="3A",$C66="2A",$C66="日職一軍",$C66="韓職一軍",$C66="KBO")),COUNT($N$3:N65)+1,"")</f>
        <v/>
      </c>
      <c r="O66" s="29" t="str">
        <f>IF(AND($D66="投手",$F66="YES",OR($C66="MLB",$C66="一軍",$C66="KBO",$C66="3A",$C66="2A")),COUNT($O$2:O65)+1,"")</f>
        <v/>
      </c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 spans="1:27">
      <c r="A67" s="29"/>
      <c r="B67" s="29"/>
      <c r="C67" s="29"/>
      <c r="D67" s="29"/>
      <c r="E67" s="29"/>
      <c r="F67" s="29"/>
      <c r="G67" s="29"/>
      <c r="H67" s="29"/>
      <c r="I67" s="29">
        <f t="shared" ref="I67:I130" si="5">IF($A67="投手",1,IF($D67="投手",2,IF($A67="野手",3,IF(OR($D67="野手",$D67="內野手",$D67="外野手",$D67="捕手"),4,99))))</f>
        <v>99</v>
      </c>
      <c r="J67" s="29">
        <f t="shared" si="3"/>
        <v>99</v>
      </c>
      <c r="K67" s="29"/>
      <c r="L67" s="29">
        <f t="shared" si="4"/>
        <v>99</v>
      </c>
      <c r="M67" s="29" t="str">
        <f>IF(AND($D67="投手",LEFT($F67,3)="YES",OR($C67="MLB",$C67="3A",$C67="2A",$C67="日職一軍",$C67="韓職一軍",$C67="KBO")),COUNT($M$3:M66)+1,"")</f>
        <v/>
      </c>
      <c r="N67" s="29" t="str">
        <f>IF(AND($D67&lt;&gt;"投手",$D67&lt;&gt;"",LEFT($F67,3)="YES",OR($C67="MLB",$C67="3A",$C67="2A",$C67="日職一軍",$C67="韓職一軍",$C67="KBO")),COUNT($N$3:N66)+1,"")</f>
        <v/>
      </c>
      <c r="O67" s="29" t="str">
        <f>IF(AND($D67="投手",$F67="YES",OR($C67="MLB",$C67="一軍",$C67="KBO",$C67="3A",$C67="2A")),COUNT($O$2:O66)+1,"")</f>
        <v/>
      </c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 spans="1:27">
      <c r="A68" s="29"/>
      <c r="B68" s="29"/>
      <c r="C68" s="29"/>
      <c r="D68" s="29"/>
      <c r="E68" s="29"/>
      <c r="F68" s="29"/>
      <c r="G68" s="29"/>
      <c r="H68" s="29"/>
      <c r="I68" s="29">
        <f t="shared" si="5"/>
        <v>99</v>
      </c>
      <c r="J68" s="29">
        <f t="shared" si="3"/>
        <v>99</v>
      </c>
      <c r="K68" s="29"/>
      <c r="L68" s="29">
        <f t="shared" si="4"/>
        <v>99</v>
      </c>
      <c r="M68" s="29" t="str">
        <f>IF(AND($D68="投手",LEFT($F68,3)="YES",OR($C68="MLB",$C68="3A",$C68="2A",$C68="日職一軍",$C68="韓職一軍",$C68="KBO")),COUNT($M$3:M67)+1,"")</f>
        <v/>
      </c>
      <c r="N68" s="29" t="str">
        <f>IF(AND($D68&lt;&gt;"投手",$D68&lt;&gt;"",LEFT($F68,3)="YES",OR($C68="MLB",$C68="3A",$C68="2A",$C68="日職一軍",$C68="韓職一軍",$C68="KBO")),COUNT($N$3:N67)+1,"")</f>
        <v/>
      </c>
      <c r="O68" s="29" t="str">
        <f>IF(AND($D68="投手",$F68="YES",OR($C68="MLB",$C68="一軍",$C68="KBO",$C68="3A",$C68="2A")),COUNT($O$2:O67)+1,"")</f>
        <v/>
      </c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 spans="1:27">
      <c r="A69" s="29"/>
      <c r="B69" s="29"/>
      <c r="C69" s="29"/>
      <c r="D69" s="29"/>
      <c r="E69" s="29"/>
      <c r="F69" s="29"/>
      <c r="G69" s="29"/>
      <c r="H69" s="29"/>
      <c r="I69" s="29">
        <f t="shared" si="5"/>
        <v>99</v>
      </c>
      <c r="J69" s="29">
        <f t="shared" si="3"/>
        <v>99</v>
      </c>
      <c r="K69" s="29"/>
      <c r="L69" s="29">
        <f t="shared" si="4"/>
        <v>99</v>
      </c>
      <c r="M69" s="29" t="str">
        <f>IF(AND($D69="投手",LEFT($F69,3)="YES",OR($C69="MLB",$C69="3A",$C69="2A",$C69="日職一軍",$C69="韓職一軍",$C69="KBO")),COUNT($M$3:M68)+1,"")</f>
        <v/>
      </c>
      <c r="N69" s="29" t="str">
        <f>IF(AND($D69&lt;&gt;"投手",$D69&lt;&gt;"",LEFT($F69,3)="YES",OR($C69="MLB",$C69="3A",$C69="2A",$C69="日職一軍",$C69="韓職一軍",$C69="KBO")),COUNT($N$3:N68)+1,"")</f>
        <v/>
      </c>
      <c r="O69" s="29" t="str">
        <f>IF(AND($D69="投手",$F69="YES",OR($C69="MLB",$C69="一軍",$C69="KBO",$C69="3A",$C69="2A")),COUNT($O$2:O68)+1,"")</f>
        <v/>
      </c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 spans="1:27">
      <c r="A70" s="29"/>
      <c r="B70" s="29"/>
      <c r="C70" s="29"/>
      <c r="D70" s="29"/>
      <c r="E70" s="29"/>
      <c r="F70" s="29"/>
      <c r="G70" s="29"/>
      <c r="H70" s="29"/>
      <c r="I70" s="29">
        <f t="shared" si="5"/>
        <v>99</v>
      </c>
      <c r="J70" s="29">
        <f t="shared" si="3"/>
        <v>99</v>
      </c>
      <c r="K70" s="29"/>
      <c r="L70" s="29">
        <f t="shared" si="4"/>
        <v>99</v>
      </c>
      <c r="M70" s="29" t="str">
        <f>IF(AND($D70="投手",LEFT($F70,3)="YES",OR($C70="MLB",$C70="3A",$C70="2A",$C70="日職一軍",$C70="韓職一軍",$C70="KBO")),COUNT($M$3:M69)+1,"")</f>
        <v/>
      </c>
      <c r="N70" s="29" t="str">
        <f>IF(AND($D70&lt;&gt;"投手",$D70&lt;&gt;"",LEFT($F70,3)="YES",OR($C70="MLB",$C70="3A",$C70="2A",$C70="日職一軍",$C70="韓職一軍",$C70="KBO")),COUNT($N$3:N69)+1,"")</f>
        <v/>
      </c>
      <c r="O70" s="29" t="str">
        <f>IF(AND($D70="投手",$F70="YES",OR($C70="MLB",$C70="一軍",$C70="KBO",$C70="3A",$C70="2A")),COUNT($O$2:O69)+1,"")</f>
        <v/>
      </c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 spans="1:27">
      <c r="A71" s="29"/>
      <c r="B71" s="29"/>
      <c r="C71" s="29"/>
      <c r="D71" s="29"/>
      <c r="E71" s="29"/>
      <c r="F71" s="29"/>
      <c r="G71" s="29"/>
      <c r="H71" s="29"/>
      <c r="I71" s="29">
        <f t="shared" si="5"/>
        <v>99</v>
      </c>
      <c r="J71" s="29">
        <f t="shared" si="3"/>
        <v>99</v>
      </c>
      <c r="K71" s="29"/>
      <c r="L71" s="29">
        <f t="shared" si="4"/>
        <v>99</v>
      </c>
      <c r="M71" s="29" t="str">
        <f>IF(AND($D71="投手",LEFT($F71,3)="YES",OR($C71="MLB",$C71="3A",$C71="2A",$C71="日職一軍",$C71="韓職一軍",$C71="KBO")),COUNT($M$3:M70)+1,"")</f>
        <v/>
      </c>
      <c r="N71" s="29" t="str">
        <f>IF(AND($D71&lt;&gt;"投手",$D71&lt;&gt;"",LEFT($F71,3)="YES",OR($C71="MLB",$C71="3A",$C71="2A",$C71="日職一軍",$C71="韓職一軍",$C71="KBO")),COUNT($N$3:N70)+1,"")</f>
        <v/>
      </c>
      <c r="O71" s="29" t="str">
        <f>IF(AND($D71="投手",$F71="YES",OR($C71="MLB",$C71="一軍",$C71="KBO",$C71="3A",$C71="2A")),COUNT($O$2:O70)+1,"")</f>
        <v/>
      </c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 spans="1:27">
      <c r="A72" s="29"/>
      <c r="B72" s="29"/>
      <c r="C72" s="29"/>
      <c r="D72" s="29"/>
      <c r="E72" s="29"/>
      <c r="F72" s="29"/>
      <c r="G72" s="29"/>
      <c r="H72" s="29"/>
      <c r="I72" s="29">
        <f t="shared" si="5"/>
        <v>99</v>
      </c>
      <c r="J72" s="29">
        <f t="shared" si="3"/>
        <v>99</v>
      </c>
      <c r="K72" s="29"/>
      <c r="L72" s="29">
        <f t="shared" si="4"/>
        <v>99</v>
      </c>
      <c r="M72" s="29" t="str">
        <f>IF(AND($D72="投手",LEFT($F72,3)="YES",OR($C72="MLB",$C72="3A",$C72="2A",$C72="日職一軍",$C72="韓職一軍",$C72="KBO")),COUNT($M$3:M71)+1,"")</f>
        <v/>
      </c>
      <c r="N72" s="29" t="str">
        <f>IF(AND($D72&lt;&gt;"投手",$D72&lt;&gt;"",LEFT($F72,3)="YES",OR($C72="MLB",$C72="3A",$C72="2A",$C72="日職一軍",$C72="韓職一軍",$C72="KBO")),COUNT($N$3:N71)+1,"")</f>
        <v/>
      </c>
      <c r="O72" s="29" t="str">
        <f>IF(AND($D72="投手",$F72="YES",OR($C72="MLB",$C72="一軍",$C72="KBO",$C72="3A",$C72="2A")),COUNT($O$2:O71)+1,"")</f>
        <v/>
      </c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 spans="1:27">
      <c r="A73" s="29"/>
      <c r="B73" s="29"/>
      <c r="C73" s="29"/>
      <c r="D73" s="29"/>
      <c r="E73" s="29"/>
      <c r="F73" s="29"/>
      <c r="G73" s="29"/>
      <c r="H73" s="29"/>
      <c r="I73" s="29">
        <f t="shared" si="5"/>
        <v>99</v>
      </c>
      <c r="J73" s="29">
        <f t="shared" si="3"/>
        <v>99</v>
      </c>
      <c r="K73" s="29"/>
      <c r="L73" s="29">
        <f t="shared" si="4"/>
        <v>99</v>
      </c>
      <c r="M73" s="29" t="str">
        <f>IF(AND($D73="投手",LEFT($F73,3)="YES",OR($C73="MLB",$C73="3A",$C73="2A",$C73="日職一軍",$C73="韓職一軍",$C73="KBO")),COUNT($M$3:M72)+1,"")</f>
        <v/>
      </c>
      <c r="N73" s="29" t="str">
        <f>IF(AND($D73&lt;&gt;"投手",$D73&lt;&gt;"",LEFT($F73,3)="YES",OR($C73="MLB",$C73="3A",$C73="2A",$C73="日職一軍",$C73="韓職一軍",$C73="KBO")),COUNT($N$3:N72)+1,"")</f>
        <v/>
      </c>
      <c r="O73" s="29" t="str">
        <f>IF(AND($D73="投手",$F73="YES",OR($C73="MLB",$C73="一軍",$C73="KBO",$C73="3A",$C73="2A")),COUNT($O$2:O72)+1,"")</f>
        <v/>
      </c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 spans="1:27">
      <c r="A74" s="29"/>
      <c r="B74" s="29"/>
      <c r="C74" s="29"/>
      <c r="D74" s="29"/>
      <c r="E74" s="29"/>
      <c r="F74" s="29"/>
      <c r="G74" s="29"/>
      <c r="H74" s="29"/>
      <c r="I74" s="29">
        <f t="shared" si="5"/>
        <v>99</v>
      </c>
      <c r="J74" s="29">
        <f t="shared" si="3"/>
        <v>99</v>
      </c>
      <c r="K74" s="29"/>
      <c r="L74" s="29">
        <f t="shared" si="4"/>
        <v>99</v>
      </c>
      <c r="M74" s="29" t="str">
        <f>IF(AND($D74="投手",LEFT($F74,3)="YES",OR($C74="MLB",$C74="3A",$C74="2A",$C74="日職一軍",$C74="韓職一軍",$C74="KBO")),COUNT($M$3:M73)+1,"")</f>
        <v/>
      </c>
      <c r="N74" s="29" t="str">
        <f>IF(AND($D74&lt;&gt;"投手",$D74&lt;&gt;"",LEFT($F74,3)="YES",OR($C74="MLB",$C74="3A",$C74="2A",$C74="日職一軍",$C74="韓職一軍",$C74="KBO")),COUNT($N$3:N73)+1,"")</f>
        <v/>
      </c>
      <c r="O74" s="29" t="str">
        <f>IF(AND($D74="投手",$F74="YES",OR($C74="MLB",$C74="一軍",$C74="KBO",$C74="3A",$C74="2A")),COUNT($O$2:O73)+1,"")</f>
        <v/>
      </c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 spans="1:27">
      <c r="A75" s="29"/>
      <c r="B75" s="29"/>
      <c r="C75" s="29"/>
      <c r="D75" s="29"/>
      <c r="E75" s="29"/>
      <c r="F75" s="29"/>
      <c r="G75" s="29"/>
      <c r="H75" s="29"/>
      <c r="I75" s="29">
        <f t="shared" si="5"/>
        <v>99</v>
      </c>
      <c r="J75" s="29">
        <f t="shared" si="3"/>
        <v>99</v>
      </c>
      <c r="K75" s="29"/>
      <c r="L75" s="29">
        <f t="shared" si="4"/>
        <v>99</v>
      </c>
      <c r="M75" s="29" t="str">
        <f>IF(AND($D75="投手",LEFT($F75,3)="YES",OR($C75="MLB",$C75="3A",$C75="2A",$C75="日職一軍",$C75="韓職一軍",$C75="KBO")),COUNT($M$3:M74)+1,"")</f>
        <v/>
      </c>
      <c r="N75" s="29" t="str">
        <f>IF(AND($D75&lt;&gt;"投手",$D75&lt;&gt;"",LEFT($F75,3)="YES",OR($C75="MLB",$C75="3A",$C75="2A",$C75="日職一軍",$C75="韓職一軍",$C75="KBO")),COUNT($N$3:N74)+1,"")</f>
        <v/>
      </c>
      <c r="O75" s="29" t="str">
        <f>IF(AND($D75="投手",$F75="YES",OR($C75="MLB",$C75="一軍",$C75="KBO",$C75="3A",$C75="2A")),COUNT($O$2:O74)+1,"")</f>
        <v/>
      </c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 spans="1:27">
      <c r="A76" s="29"/>
      <c r="B76" s="29"/>
      <c r="C76" s="29"/>
      <c r="D76" s="29"/>
      <c r="E76" s="29"/>
      <c r="F76" s="29"/>
      <c r="G76" s="29"/>
      <c r="H76" s="29"/>
      <c r="I76" s="29">
        <f t="shared" si="5"/>
        <v>99</v>
      </c>
      <c r="J76" s="29">
        <f t="shared" si="3"/>
        <v>99</v>
      </c>
      <c r="K76" s="29"/>
      <c r="L76" s="29">
        <f t="shared" si="4"/>
        <v>99</v>
      </c>
      <c r="M76" s="29" t="str">
        <f>IF(AND($D76="投手",LEFT($F76,3)="YES",OR($C76="MLB",$C76="3A",$C76="2A",$C76="日職一軍",$C76="韓職一軍",$C76="KBO")),COUNT($M$3:M75)+1,"")</f>
        <v/>
      </c>
      <c r="N76" s="29" t="str">
        <f>IF(AND($D76&lt;&gt;"投手",$D76&lt;&gt;"",LEFT($F76,3)="YES",OR($C76="MLB",$C76="3A",$C76="2A",$C76="日職一軍",$C76="韓職一軍",$C76="KBO")),COUNT($N$3:N75)+1,"")</f>
        <v/>
      </c>
      <c r="O76" s="29" t="str">
        <f>IF(AND($D76="投手",$F76="YES",OR($C76="MLB",$C76="一軍",$C76="KBO",$C76="3A",$C76="2A")),COUNT($O$2:O75)+1,"")</f>
        <v/>
      </c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 spans="1:27">
      <c r="A77" s="29"/>
      <c r="B77" s="29"/>
      <c r="C77" s="29"/>
      <c r="D77" s="29"/>
      <c r="E77" s="29"/>
      <c r="F77" s="29"/>
      <c r="G77" s="29"/>
      <c r="H77" s="29"/>
      <c r="I77" s="29">
        <f t="shared" si="5"/>
        <v>99</v>
      </c>
      <c r="J77" s="29">
        <f t="shared" si="3"/>
        <v>99</v>
      </c>
      <c r="K77" s="29"/>
      <c r="L77" s="29">
        <f t="shared" si="4"/>
        <v>99</v>
      </c>
      <c r="M77" s="29" t="str">
        <f>IF(AND($D77="投手",LEFT($F77,3)="YES",OR($C77="MLB",$C77="3A",$C77="2A",$C77="日職一軍",$C77="韓職一軍",$C77="KBO")),COUNT($M$3:M76)+1,"")</f>
        <v/>
      </c>
      <c r="N77" s="29" t="str">
        <f>IF(AND($D77&lt;&gt;"投手",$D77&lt;&gt;"",LEFT($F77,3)="YES",OR($C77="MLB",$C77="3A",$C77="2A",$C77="日職一軍",$C77="韓職一軍",$C77="KBO")),COUNT($N$3:N76)+1,"")</f>
        <v/>
      </c>
      <c r="O77" s="29" t="str">
        <f>IF(AND($D77="投手",$F77="YES",OR($C77="MLB",$C77="一軍",$C77="KBO",$C77="3A",$C77="2A")),COUNT($O$2:O76)+1,"")</f>
        <v/>
      </c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 spans="1:27">
      <c r="A78" s="29"/>
      <c r="B78" s="29"/>
      <c r="C78" s="29"/>
      <c r="D78" s="29"/>
      <c r="E78" s="29"/>
      <c r="F78" s="29"/>
      <c r="G78" s="29"/>
      <c r="H78" s="29"/>
      <c r="I78" s="29">
        <f t="shared" si="5"/>
        <v>99</v>
      </c>
      <c r="J78" s="29">
        <f t="shared" si="3"/>
        <v>99</v>
      </c>
      <c r="K78" s="29"/>
      <c r="L78" s="29">
        <f t="shared" si="4"/>
        <v>99</v>
      </c>
      <c r="M78" s="29" t="str">
        <f>IF(AND($D78="投手",LEFT($F78,3)="YES",OR($C78="MLB",$C78="3A",$C78="2A",$C78="日職一軍",$C78="韓職一軍",$C78="KBO")),COUNT($M$3:M77)+1,"")</f>
        <v/>
      </c>
      <c r="N78" s="29" t="str">
        <f>IF(AND($D78&lt;&gt;"投手",$D78&lt;&gt;"",LEFT($F78,3)="YES",OR($C78="MLB",$C78="3A",$C78="2A",$C78="日職一軍",$C78="韓職一軍",$C78="KBO")),COUNT($N$3:N77)+1,"")</f>
        <v/>
      </c>
      <c r="O78" s="29" t="str">
        <f>IF(AND($D78="投手",$F78="YES",OR($C78="MLB",$C78="一軍",$C78="KBO",$C78="3A",$C78="2A")),COUNT($O$2:O77)+1,"")</f>
        <v/>
      </c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 spans="1:27">
      <c r="A79" s="29"/>
      <c r="B79" s="29"/>
      <c r="C79" s="29"/>
      <c r="D79" s="29"/>
      <c r="E79" s="29"/>
      <c r="F79" s="29"/>
      <c r="G79" s="29"/>
      <c r="H79" s="29"/>
      <c r="I79" s="29">
        <f t="shared" si="5"/>
        <v>99</v>
      </c>
      <c r="J79" s="29">
        <f t="shared" si="3"/>
        <v>99</v>
      </c>
      <c r="K79" s="29"/>
      <c r="L79" s="29">
        <f t="shared" si="4"/>
        <v>99</v>
      </c>
      <c r="M79" s="29" t="str">
        <f>IF(AND($D79="投手",LEFT($F79,3)="YES",OR($C79="MLB",$C79="3A",$C79="2A",$C79="日職一軍",$C79="韓職一軍",$C79="KBO")),COUNT($M$3:M78)+1,"")</f>
        <v/>
      </c>
      <c r="N79" s="29" t="str">
        <f>IF(AND($D79&lt;&gt;"投手",$D79&lt;&gt;"",LEFT($F79,3)="YES",OR($C79="MLB",$C79="3A",$C79="2A",$C79="日職一軍",$C79="韓職一軍",$C79="KBO")),COUNT($N$3:N78)+1,"")</f>
        <v/>
      </c>
      <c r="O79" s="29" t="str">
        <f>IF(AND($D79="投手",$F79="YES",OR($C79="MLB",$C79="一軍",$C79="KBO",$C79="3A",$C79="2A")),COUNT($O$2:O78)+1,"")</f>
        <v/>
      </c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 spans="1:27">
      <c r="A80" s="29"/>
      <c r="B80" s="29"/>
      <c r="C80" s="29"/>
      <c r="D80" s="29"/>
      <c r="E80" s="29"/>
      <c r="F80" s="29"/>
      <c r="G80" s="29"/>
      <c r="H80" s="29"/>
      <c r="I80" s="29">
        <f t="shared" si="5"/>
        <v>99</v>
      </c>
      <c r="J80" s="29">
        <f t="shared" si="3"/>
        <v>99</v>
      </c>
      <c r="K80" s="29"/>
      <c r="L80" s="29">
        <f t="shared" si="4"/>
        <v>99</v>
      </c>
      <c r="M80" s="29" t="str">
        <f>IF(AND($D80="投手",LEFT($F80,3)="YES",OR($C80="MLB",$C80="3A",$C80="2A",$C80="日職一軍",$C80="韓職一軍",$C80="KBO")),COUNT($M$3:M79)+1,"")</f>
        <v/>
      </c>
      <c r="N80" s="29" t="str">
        <f>IF(AND($D80&lt;&gt;"投手",$D80&lt;&gt;"",LEFT($F80,3)="YES",OR($C80="MLB",$C80="3A",$C80="2A",$C80="日職一軍",$C80="韓職一軍",$C80="KBO")),COUNT($N$3:N79)+1,"")</f>
        <v/>
      </c>
      <c r="O80" s="29" t="str">
        <f>IF(AND($D80="投手",$F80="YES",OR($C80="MLB",$C80="一軍",$C80="KBO",$C80="3A",$C80="2A")),COUNT($O$2:O79)+1,"")</f>
        <v/>
      </c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 spans="1:27">
      <c r="A81" s="29"/>
      <c r="B81" s="29"/>
      <c r="C81" s="29"/>
      <c r="D81" s="29"/>
      <c r="E81" s="29"/>
      <c r="F81" s="29"/>
      <c r="G81" s="29"/>
      <c r="H81" s="29"/>
      <c r="I81" s="29">
        <f t="shared" si="5"/>
        <v>99</v>
      </c>
      <c r="J81" s="29">
        <f t="shared" si="3"/>
        <v>99</v>
      </c>
      <c r="K81" s="29"/>
      <c r="L81" s="29">
        <f t="shared" si="4"/>
        <v>99</v>
      </c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spans="1:27">
      <c r="A82" s="29"/>
      <c r="B82" s="29"/>
      <c r="C82" s="29"/>
      <c r="D82" s="29"/>
      <c r="E82" s="29"/>
      <c r="F82" s="29"/>
      <c r="G82" s="29"/>
      <c r="H82" s="29"/>
      <c r="I82" s="29">
        <f t="shared" si="5"/>
        <v>99</v>
      </c>
      <c r="J82" s="29">
        <f t="shared" si="3"/>
        <v>99</v>
      </c>
      <c r="K82" s="29"/>
      <c r="L82" s="29">
        <f t="shared" si="4"/>
        <v>99</v>
      </c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 spans="1:27">
      <c r="A83" s="29"/>
      <c r="B83" s="29"/>
      <c r="C83" s="29"/>
      <c r="D83" s="29"/>
      <c r="E83" s="29"/>
      <c r="F83" s="29"/>
      <c r="G83" s="29"/>
      <c r="H83" s="29"/>
      <c r="I83" s="29">
        <f t="shared" si="5"/>
        <v>99</v>
      </c>
      <c r="J83" s="29">
        <f t="shared" si="3"/>
        <v>99</v>
      </c>
      <c r="K83" s="29"/>
      <c r="L83" s="29">
        <f t="shared" si="4"/>
        <v>99</v>
      </c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 spans="1:27">
      <c r="A84" s="29"/>
      <c r="B84" s="29"/>
      <c r="C84" s="29"/>
      <c r="D84" s="29"/>
      <c r="E84" s="29"/>
      <c r="F84" s="29"/>
      <c r="G84" s="29"/>
      <c r="H84" s="29"/>
      <c r="I84" s="29">
        <f t="shared" si="5"/>
        <v>99</v>
      </c>
      <c r="J84" s="29">
        <f t="shared" si="3"/>
        <v>99</v>
      </c>
      <c r="K84" s="29"/>
      <c r="L84" s="29">
        <f t="shared" si="4"/>
        <v>99</v>
      </c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 spans="1:27">
      <c r="A85" s="29"/>
      <c r="B85" s="29"/>
      <c r="C85" s="29"/>
      <c r="D85" s="29"/>
      <c r="E85" s="29"/>
      <c r="F85" s="29"/>
      <c r="G85" s="29"/>
      <c r="H85" s="29"/>
      <c r="I85" s="29">
        <f t="shared" si="5"/>
        <v>99</v>
      </c>
      <c r="J85" s="29">
        <f t="shared" si="3"/>
        <v>99</v>
      </c>
      <c r="K85" s="29"/>
      <c r="L85" s="29">
        <f t="shared" si="4"/>
        <v>99</v>
      </c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 spans="1:27">
      <c r="A86" s="29"/>
      <c r="B86" s="29"/>
      <c r="C86" s="29"/>
      <c r="D86" s="29"/>
      <c r="E86" s="29"/>
      <c r="F86" s="29"/>
      <c r="G86" s="29"/>
      <c r="H86" s="29"/>
      <c r="I86" s="29">
        <f t="shared" si="5"/>
        <v>99</v>
      </c>
      <c r="J86" s="29">
        <f t="shared" si="3"/>
        <v>99</v>
      </c>
      <c r="K86" s="29"/>
      <c r="L86" s="29">
        <f t="shared" si="4"/>
        <v>99</v>
      </c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 spans="1:27">
      <c r="A87" s="29"/>
      <c r="B87" s="29"/>
      <c r="C87" s="29"/>
      <c r="D87" s="29"/>
      <c r="E87" s="29"/>
      <c r="F87" s="29"/>
      <c r="G87" s="29"/>
      <c r="H87" s="29"/>
      <c r="I87" s="29">
        <f t="shared" si="5"/>
        <v>99</v>
      </c>
      <c r="J87" s="29">
        <f t="shared" si="3"/>
        <v>99</v>
      </c>
      <c r="K87" s="29"/>
      <c r="L87" s="29">
        <f t="shared" si="4"/>
        <v>99</v>
      </c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spans="1:27">
      <c r="A88" s="29"/>
      <c r="B88" s="29"/>
      <c r="C88" s="29"/>
      <c r="D88" s="29"/>
      <c r="E88" s="29"/>
      <c r="F88" s="29"/>
      <c r="G88" s="29"/>
      <c r="H88" s="29"/>
      <c r="I88" s="29">
        <f t="shared" si="5"/>
        <v>99</v>
      </c>
      <c r="J88" s="29">
        <f t="shared" si="3"/>
        <v>99</v>
      </c>
      <c r="K88" s="29"/>
      <c r="L88" s="29">
        <f t="shared" si="4"/>
        <v>99</v>
      </c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 spans="1:27">
      <c r="A89" s="29"/>
      <c r="B89" s="29"/>
      <c r="C89" s="29"/>
      <c r="D89" s="29"/>
      <c r="E89" s="29"/>
      <c r="F89" s="29"/>
      <c r="G89" s="29"/>
      <c r="H89" s="29"/>
      <c r="I89" s="29">
        <f t="shared" si="5"/>
        <v>99</v>
      </c>
      <c r="J89" s="29">
        <f t="shared" si="3"/>
        <v>99</v>
      </c>
      <c r="K89" s="29"/>
      <c r="L89" s="29">
        <f t="shared" si="4"/>
        <v>99</v>
      </c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 spans="1:27">
      <c r="A90" s="29"/>
      <c r="B90" s="29"/>
      <c r="C90" s="29"/>
      <c r="D90" s="29"/>
      <c r="E90" s="29"/>
      <c r="F90" s="29"/>
      <c r="G90" s="29"/>
      <c r="H90" s="29"/>
      <c r="I90" s="29">
        <f t="shared" si="5"/>
        <v>99</v>
      </c>
      <c r="J90" s="29">
        <f t="shared" si="3"/>
        <v>99</v>
      </c>
      <c r="K90" s="29"/>
      <c r="L90" s="29">
        <f t="shared" si="4"/>
        <v>99</v>
      </c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 spans="1:27">
      <c r="A91" s="29"/>
      <c r="B91" s="29"/>
      <c r="C91" s="29"/>
      <c r="D91" s="29"/>
      <c r="E91" s="29"/>
      <c r="F91" s="29"/>
      <c r="G91" s="29"/>
      <c r="H91" s="29"/>
      <c r="I91" s="29">
        <f t="shared" si="5"/>
        <v>99</v>
      </c>
      <c r="J91" s="29">
        <f t="shared" si="3"/>
        <v>99</v>
      </c>
      <c r="K91" s="29"/>
      <c r="L91" s="29">
        <f t="shared" si="4"/>
        <v>99</v>
      </c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 spans="1:27">
      <c r="A92" s="29"/>
      <c r="B92" s="29"/>
      <c r="C92" s="29"/>
      <c r="D92" s="29"/>
      <c r="E92" s="29"/>
      <c r="F92" s="29"/>
      <c r="G92" s="29"/>
      <c r="H92" s="29"/>
      <c r="I92" s="29">
        <f t="shared" si="5"/>
        <v>99</v>
      </c>
      <c r="J92" s="29">
        <f t="shared" si="3"/>
        <v>99</v>
      </c>
      <c r="K92" s="29"/>
      <c r="L92" s="29">
        <f t="shared" si="4"/>
        <v>99</v>
      </c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 spans="1:27">
      <c r="A93" s="29"/>
      <c r="B93" s="29"/>
      <c r="C93" s="29"/>
      <c r="D93" s="29"/>
      <c r="E93" s="29"/>
      <c r="F93" s="29"/>
      <c r="G93" s="29"/>
      <c r="H93" s="29"/>
      <c r="I93" s="29">
        <f t="shared" si="5"/>
        <v>99</v>
      </c>
      <c r="J93" s="29">
        <f t="shared" si="3"/>
        <v>99</v>
      </c>
      <c r="K93" s="29"/>
      <c r="L93" s="29">
        <f t="shared" si="4"/>
        <v>99</v>
      </c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 spans="1:27">
      <c r="A94" s="29"/>
      <c r="B94" s="29"/>
      <c r="C94" s="29"/>
      <c r="D94" s="29"/>
      <c r="E94" s="29"/>
      <c r="F94" s="29"/>
      <c r="G94" s="29"/>
      <c r="H94" s="29"/>
      <c r="I94" s="29">
        <f t="shared" si="5"/>
        <v>99</v>
      </c>
      <c r="J94" s="29">
        <f t="shared" si="3"/>
        <v>99</v>
      </c>
      <c r="K94" s="29"/>
      <c r="L94" s="29">
        <f t="shared" si="4"/>
        <v>99</v>
      </c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 spans="1:27">
      <c r="A95" s="29"/>
      <c r="B95" s="29"/>
      <c r="C95" s="29"/>
      <c r="D95" s="29"/>
      <c r="E95" s="29"/>
      <c r="F95" s="29"/>
      <c r="G95" s="29"/>
      <c r="H95" s="29"/>
      <c r="I95" s="29">
        <f t="shared" si="5"/>
        <v>99</v>
      </c>
      <c r="J95" s="29">
        <f t="shared" si="3"/>
        <v>99</v>
      </c>
      <c r="K95" s="29"/>
      <c r="L95" s="29">
        <f t="shared" si="4"/>
        <v>99</v>
      </c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 spans="1:27">
      <c r="A96" s="29"/>
      <c r="B96" s="29"/>
      <c r="C96" s="29"/>
      <c r="D96" s="29"/>
      <c r="E96" s="29"/>
      <c r="F96" s="29"/>
      <c r="G96" s="29"/>
      <c r="H96" s="29"/>
      <c r="I96" s="29">
        <f t="shared" si="5"/>
        <v>99</v>
      </c>
      <c r="J96" s="29">
        <f t="shared" si="3"/>
        <v>99</v>
      </c>
      <c r="K96" s="29"/>
      <c r="L96" s="29">
        <f t="shared" si="4"/>
        <v>99</v>
      </c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 spans="1:27">
      <c r="A97" s="29"/>
      <c r="B97" s="29"/>
      <c r="C97" s="29"/>
      <c r="D97" s="29"/>
      <c r="E97" s="29"/>
      <c r="F97" s="29"/>
      <c r="G97" s="29"/>
      <c r="H97" s="29"/>
      <c r="I97" s="29">
        <f t="shared" si="5"/>
        <v>99</v>
      </c>
      <c r="J97" s="29">
        <f t="shared" si="3"/>
        <v>99</v>
      </c>
      <c r="K97" s="29"/>
      <c r="L97" s="29">
        <f t="shared" si="4"/>
        <v>99</v>
      </c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 spans="1:27">
      <c r="A98" s="29"/>
      <c r="B98" s="29"/>
      <c r="C98" s="29"/>
      <c r="D98" s="29"/>
      <c r="E98" s="29"/>
      <c r="F98" s="29"/>
      <c r="G98" s="29"/>
      <c r="H98" s="29"/>
      <c r="I98" s="29">
        <f t="shared" si="5"/>
        <v>99</v>
      </c>
      <c r="J98" s="29">
        <f t="shared" si="3"/>
        <v>99</v>
      </c>
      <c r="K98" s="29"/>
      <c r="L98" s="29">
        <f t="shared" si="4"/>
        <v>99</v>
      </c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 spans="1:27">
      <c r="A99" s="29"/>
      <c r="B99" s="29"/>
      <c r="C99" s="29"/>
      <c r="D99" s="29"/>
      <c r="E99" s="29"/>
      <c r="F99" s="29"/>
      <c r="G99" s="29"/>
      <c r="H99" s="29"/>
      <c r="I99" s="29">
        <f t="shared" si="5"/>
        <v>99</v>
      </c>
      <c r="J99" s="29">
        <f t="shared" si="3"/>
        <v>99</v>
      </c>
      <c r="K99" s="29"/>
      <c r="L99" s="29">
        <f t="shared" si="4"/>
        <v>99</v>
      </c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 spans="1:27">
      <c r="A100" s="29"/>
      <c r="B100" s="29"/>
      <c r="C100" s="29"/>
      <c r="D100" s="29"/>
      <c r="E100" s="29"/>
      <c r="F100" s="29"/>
      <c r="G100" s="29"/>
      <c r="H100" s="29"/>
      <c r="I100" s="29">
        <f t="shared" si="5"/>
        <v>99</v>
      </c>
      <c r="J100" s="29">
        <f t="shared" si="3"/>
        <v>99</v>
      </c>
      <c r="K100" s="29"/>
      <c r="L100" s="29">
        <f t="shared" si="4"/>
        <v>99</v>
      </c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 spans="1:27">
      <c r="A101" s="29"/>
      <c r="B101" s="29"/>
      <c r="C101" s="29"/>
      <c r="D101" s="29"/>
      <c r="E101" s="29"/>
      <c r="F101" s="29"/>
      <c r="G101" s="29"/>
      <c r="H101" s="29"/>
      <c r="I101" s="29">
        <f t="shared" si="5"/>
        <v>99</v>
      </c>
      <c r="J101" s="29">
        <f t="shared" si="3"/>
        <v>99</v>
      </c>
      <c r="K101" s="29"/>
      <c r="L101" s="29">
        <f t="shared" si="4"/>
        <v>99</v>
      </c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 spans="1:27">
      <c r="A102" s="29"/>
      <c r="B102" s="29"/>
      <c r="C102" s="29"/>
      <c r="D102" s="29"/>
      <c r="E102" s="29"/>
      <c r="F102" s="29"/>
      <c r="G102" s="29"/>
      <c r="H102" s="29"/>
      <c r="I102" s="29">
        <f t="shared" si="5"/>
        <v>99</v>
      </c>
      <c r="J102" s="29">
        <f t="shared" si="3"/>
        <v>99</v>
      </c>
      <c r="K102" s="29"/>
      <c r="L102" s="29">
        <f t="shared" si="4"/>
        <v>99</v>
      </c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 spans="1:27">
      <c r="A103" s="29"/>
      <c r="B103" s="29"/>
      <c r="C103" s="29"/>
      <c r="D103" s="29"/>
      <c r="E103" s="29"/>
      <c r="F103" s="29"/>
      <c r="G103" s="29"/>
      <c r="H103" s="29"/>
      <c r="I103" s="29">
        <f t="shared" si="5"/>
        <v>99</v>
      </c>
      <c r="J103" s="29">
        <f t="shared" si="3"/>
        <v>99</v>
      </c>
      <c r="K103" s="29"/>
      <c r="L103" s="29">
        <f t="shared" si="4"/>
        <v>99</v>
      </c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 spans="1:27">
      <c r="A104" s="29"/>
      <c r="B104" s="29"/>
      <c r="C104" s="29"/>
      <c r="D104" s="29"/>
      <c r="E104" s="29"/>
      <c r="F104" s="29"/>
      <c r="G104" s="29"/>
      <c r="H104" s="29"/>
      <c r="I104" s="29">
        <f t="shared" si="5"/>
        <v>99</v>
      </c>
      <c r="J104" s="29">
        <f t="shared" si="3"/>
        <v>99</v>
      </c>
      <c r="K104" s="29"/>
      <c r="L104" s="29">
        <f t="shared" si="4"/>
        <v>99</v>
      </c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 spans="1:27">
      <c r="A105" s="29"/>
      <c r="B105" s="29"/>
      <c r="C105" s="29"/>
      <c r="D105" s="29"/>
      <c r="E105" s="29"/>
      <c r="F105" s="29"/>
      <c r="G105" s="29"/>
      <c r="H105" s="29"/>
      <c r="I105" s="29">
        <f t="shared" si="5"/>
        <v>99</v>
      </c>
      <c r="J105" s="29">
        <f t="shared" si="3"/>
        <v>99</v>
      </c>
      <c r="K105" s="29"/>
      <c r="L105" s="29">
        <f t="shared" si="4"/>
        <v>99</v>
      </c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 spans="1:27">
      <c r="A106" s="29"/>
      <c r="B106" s="29"/>
      <c r="C106" s="29"/>
      <c r="D106" s="29"/>
      <c r="E106" s="29"/>
      <c r="F106" s="29"/>
      <c r="G106" s="29"/>
      <c r="H106" s="29"/>
      <c r="I106" s="29">
        <f t="shared" si="5"/>
        <v>99</v>
      </c>
      <c r="J106" s="29">
        <f t="shared" si="3"/>
        <v>99</v>
      </c>
      <c r="K106" s="29"/>
      <c r="L106" s="29">
        <f t="shared" si="4"/>
        <v>99</v>
      </c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 spans="1:27">
      <c r="A107" s="29"/>
      <c r="B107" s="29"/>
      <c r="C107" s="29"/>
      <c r="D107" s="29"/>
      <c r="E107" s="29"/>
      <c r="F107" s="29"/>
      <c r="G107" s="29"/>
      <c r="H107" s="29"/>
      <c r="I107" s="29">
        <f t="shared" si="5"/>
        <v>99</v>
      </c>
      <c r="J107" s="29">
        <f t="shared" si="3"/>
        <v>99</v>
      </c>
      <c r="K107" s="29"/>
      <c r="L107" s="29">
        <f t="shared" si="4"/>
        <v>99</v>
      </c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 spans="1:27">
      <c r="A108" s="29"/>
      <c r="B108" s="29"/>
      <c r="C108" s="29"/>
      <c r="D108" s="29"/>
      <c r="E108" s="29"/>
      <c r="F108" s="29"/>
      <c r="G108" s="29"/>
      <c r="H108" s="29"/>
      <c r="I108" s="29">
        <f t="shared" si="5"/>
        <v>99</v>
      </c>
      <c r="J108" s="29">
        <f t="shared" si="3"/>
        <v>99</v>
      </c>
      <c r="K108" s="29"/>
      <c r="L108" s="29">
        <f t="shared" si="4"/>
        <v>99</v>
      </c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 spans="1:27">
      <c r="A109" s="29"/>
      <c r="B109" s="29"/>
      <c r="C109" s="29"/>
      <c r="D109" s="29"/>
      <c r="E109" s="29"/>
      <c r="F109" s="29"/>
      <c r="G109" s="29"/>
      <c r="H109" s="29"/>
      <c r="I109" s="29">
        <f t="shared" si="5"/>
        <v>99</v>
      </c>
      <c r="J109" s="29">
        <f t="shared" ref="J109:J172" si="6">IF($B109="旅美",1,IF($B109="旅日",2,IF($B109="旅韓",3,IF($B109="台裔",4,IF($B109&lt;&gt;"",5,99)))))</f>
        <v>99</v>
      </c>
      <c r="K109" s="29"/>
      <c r="L109" s="29">
        <f t="shared" ref="L109:L172" si="7">IF($C109="MLB",1,IF($C109="3A",2,IF($C109="2A",3,IF(OR($C109="A+",$C109="高A"),4,IF($C109="1A",5,IF(OR($C109="RK",$C109="Rookie"),6,IF($C109="日職一軍",7,IF($C109="日職二軍",8,IF(OR($C109="韓職一軍",$C109="KBO"),9,IF($C109&lt;&gt;"",10,99))))))))))</f>
        <v>99</v>
      </c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 spans="1:27">
      <c r="A110" s="29"/>
      <c r="B110" s="29"/>
      <c r="C110" s="29"/>
      <c r="D110" s="29"/>
      <c r="E110" s="29"/>
      <c r="F110" s="29"/>
      <c r="G110" s="29"/>
      <c r="H110" s="29"/>
      <c r="I110" s="29">
        <f t="shared" si="5"/>
        <v>99</v>
      </c>
      <c r="J110" s="29">
        <f t="shared" si="6"/>
        <v>99</v>
      </c>
      <c r="K110" s="29"/>
      <c r="L110" s="29">
        <f t="shared" si="7"/>
        <v>99</v>
      </c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 spans="1:27">
      <c r="A111" s="29"/>
      <c r="B111" s="29"/>
      <c r="C111" s="29"/>
      <c r="D111" s="29"/>
      <c r="E111" s="29"/>
      <c r="F111" s="29"/>
      <c r="G111" s="29"/>
      <c r="H111" s="29"/>
      <c r="I111" s="29">
        <f t="shared" si="5"/>
        <v>99</v>
      </c>
      <c r="J111" s="29">
        <f t="shared" si="6"/>
        <v>99</v>
      </c>
      <c r="K111" s="29"/>
      <c r="L111" s="29">
        <f t="shared" si="7"/>
        <v>99</v>
      </c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 spans="1:27">
      <c r="A112" s="29"/>
      <c r="B112" s="29"/>
      <c r="C112" s="29"/>
      <c r="D112" s="29"/>
      <c r="E112" s="29"/>
      <c r="F112" s="29"/>
      <c r="G112" s="29"/>
      <c r="H112" s="29"/>
      <c r="I112" s="29">
        <f t="shared" si="5"/>
        <v>99</v>
      </c>
      <c r="J112" s="29">
        <f t="shared" si="6"/>
        <v>99</v>
      </c>
      <c r="K112" s="29"/>
      <c r="L112" s="29">
        <f t="shared" si="7"/>
        <v>99</v>
      </c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 spans="1:27">
      <c r="A113" s="29"/>
      <c r="B113" s="29"/>
      <c r="C113" s="29"/>
      <c r="D113" s="29"/>
      <c r="E113" s="29"/>
      <c r="F113" s="29"/>
      <c r="G113" s="29"/>
      <c r="H113" s="29"/>
      <c r="I113" s="29">
        <f t="shared" si="5"/>
        <v>99</v>
      </c>
      <c r="J113" s="29">
        <f t="shared" si="6"/>
        <v>99</v>
      </c>
      <c r="K113" s="29"/>
      <c r="L113" s="29">
        <f t="shared" si="7"/>
        <v>99</v>
      </c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 spans="1:27">
      <c r="A114" s="29"/>
      <c r="B114" s="29"/>
      <c r="C114" s="29"/>
      <c r="D114" s="29"/>
      <c r="E114" s="29"/>
      <c r="F114" s="29"/>
      <c r="G114" s="29"/>
      <c r="H114" s="29"/>
      <c r="I114" s="29">
        <f t="shared" si="5"/>
        <v>99</v>
      </c>
      <c r="J114" s="29">
        <f t="shared" si="6"/>
        <v>99</v>
      </c>
      <c r="K114" s="29"/>
      <c r="L114" s="29">
        <f t="shared" si="7"/>
        <v>99</v>
      </c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 spans="1:27">
      <c r="A115" s="29"/>
      <c r="B115" s="29"/>
      <c r="C115" s="29"/>
      <c r="D115" s="29"/>
      <c r="E115" s="29"/>
      <c r="F115" s="29"/>
      <c r="G115" s="29"/>
      <c r="H115" s="29"/>
      <c r="I115" s="29">
        <f t="shared" si="5"/>
        <v>99</v>
      </c>
      <c r="J115" s="29">
        <f t="shared" si="6"/>
        <v>99</v>
      </c>
      <c r="K115" s="29"/>
      <c r="L115" s="29">
        <f t="shared" si="7"/>
        <v>99</v>
      </c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 spans="1:27">
      <c r="A116" s="29"/>
      <c r="B116" s="29"/>
      <c r="C116" s="29"/>
      <c r="D116" s="29"/>
      <c r="E116" s="29"/>
      <c r="F116" s="29"/>
      <c r="G116" s="29"/>
      <c r="H116" s="29"/>
      <c r="I116" s="29">
        <f t="shared" si="5"/>
        <v>99</v>
      </c>
      <c r="J116" s="29">
        <f t="shared" si="6"/>
        <v>99</v>
      </c>
      <c r="K116" s="29"/>
      <c r="L116" s="29">
        <f t="shared" si="7"/>
        <v>99</v>
      </c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 spans="1:27">
      <c r="A117" s="29"/>
      <c r="B117" s="29"/>
      <c r="C117" s="29"/>
      <c r="D117" s="29"/>
      <c r="E117" s="29"/>
      <c r="F117" s="29"/>
      <c r="G117" s="29"/>
      <c r="H117" s="29"/>
      <c r="I117" s="29">
        <f t="shared" si="5"/>
        <v>99</v>
      </c>
      <c r="J117" s="29">
        <f t="shared" si="6"/>
        <v>99</v>
      </c>
      <c r="K117" s="29"/>
      <c r="L117" s="29">
        <f t="shared" si="7"/>
        <v>99</v>
      </c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 spans="1:27">
      <c r="A118" s="29"/>
      <c r="B118" s="29"/>
      <c r="C118" s="29"/>
      <c r="D118" s="29"/>
      <c r="E118" s="29"/>
      <c r="F118" s="29"/>
      <c r="G118" s="29"/>
      <c r="H118" s="29"/>
      <c r="I118" s="29">
        <f t="shared" si="5"/>
        <v>99</v>
      </c>
      <c r="J118" s="29">
        <f t="shared" si="6"/>
        <v>99</v>
      </c>
      <c r="K118" s="29"/>
      <c r="L118" s="29">
        <f t="shared" si="7"/>
        <v>99</v>
      </c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 spans="1:27">
      <c r="A119" s="29"/>
      <c r="B119" s="29"/>
      <c r="C119" s="29"/>
      <c r="D119" s="29"/>
      <c r="E119" s="29"/>
      <c r="F119" s="29"/>
      <c r="G119" s="29"/>
      <c r="H119" s="29"/>
      <c r="I119" s="29">
        <f t="shared" si="5"/>
        <v>99</v>
      </c>
      <c r="J119" s="29">
        <f t="shared" si="6"/>
        <v>99</v>
      </c>
      <c r="K119" s="29"/>
      <c r="L119" s="29">
        <f t="shared" si="7"/>
        <v>99</v>
      </c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 spans="1:27">
      <c r="A120" s="29"/>
      <c r="B120" s="29"/>
      <c r="C120" s="29"/>
      <c r="D120" s="29"/>
      <c r="E120" s="29"/>
      <c r="F120" s="29"/>
      <c r="G120" s="29"/>
      <c r="H120" s="29"/>
      <c r="I120" s="29">
        <f t="shared" si="5"/>
        <v>99</v>
      </c>
      <c r="J120" s="29">
        <f t="shared" si="6"/>
        <v>99</v>
      </c>
      <c r="K120" s="29"/>
      <c r="L120" s="29">
        <f t="shared" si="7"/>
        <v>99</v>
      </c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 spans="1:27">
      <c r="A121" s="29"/>
      <c r="B121" s="29"/>
      <c r="C121" s="29"/>
      <c r="D121" s="29"/>
      <c r="E121" s="29"/>
      <c r="F121" s="29"/>
      <c r="G121" s="29"/>
      <c r="H121" s="29"/>
      <c r="I121" s="29">
        <f t="shared" si="5"/>
        <v>99</v>
      </c>
      <c r="J121" s="29">
        <f t="shared" si="6"/>
        <v>99</v>
      </c>
      <c r="K121" s="29"/>
      <c r="L121" s="29">
        <f t="shared" si="7"/>
        <v>99</v>
      </c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 spans="1:27">
      <c r="A122" s="29"/>
      <c r="B122" s="29"/>
      <c r="C122" s="29"/>
      <c r="D122" s="29"/>
      <c r="E122" s="29"/>
      <c r="F122" s="29"/>
      <c r="G122" s="29"/>
      <c r="H122" s="29"/>
      <c r="I122" s="29">
        <f t="shared" si="5"/>
        <v>99</v>
      </c>
      <c r="J122" s="29">
        <f t="shared" si="6"/>
        <v>99</v>
      </c>
      <c r="K122" s="29"/>
      <c r="L122" s="29">
        <f t="shared" si="7"/>
        <v>99</v>
      </c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 spans="1:27">
      <c r="A123" s="29"/>
      <c r="B123" s="29"/>
      <c r="C123" s="29"/>
      <c r="D123" s="29"/>
      <c r="E123" s="29"/>
      <c r="F123" s="29"/>
      <c r="G123" s="29"/>
      <c r="H123" s="29"/>
      <c r="I123" s="29">
        <f t="shared" si="5"/>
        <v>99</v>
      </c>
      <c r="J123" s="29">
        <f t="shared" si="6"/>
        <v>99</v>
      </c>
      <c r="K123" s="29"/>
      <c r="L123" s="29">
        <f t="shared" si="7"/>
        <v>99</v>
      </c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 spans="1:27">
      <c r="A124" s="29"/>
      <c r="B124" s="29"/>
      <c r="C124" s="29"/>
      <c r="D124" s="29"/>
      <c r="E124" s="29"/>
      <c r="F124" s="29"/>
      <c r="G124" s="29"/>
      <c r="H124" s="29"/>
      <c r="I124" s="29">
        <f t="shared" si="5"/>
        <v>99</v>
      </c>
      <c r="J124" s="29">
        <f t="shared" si="6"/>
        <v>99</v>
      </c>
      <c r="K124" s="29"/>
      <c r="L124" s="29">
        <f t="shared" si="7"/>
        <v>99</v>
      </c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 spans="1:27">
      <c r="A125" s="29"/>
      <c r="B125" s="29"/>
      <c r="C125" s="29"/>
      <c r="D125" s="29"/>
      <c r="E125" s="29"/>
      <c r="F125" s="29"/>
      <c r="G125" s="29"/>
      <c r="H125" s="29"/>
      <c r="I125" s="29">
        <f t="shared" si="5"/>
        <v>99</v>
      </c>
      <c r="J125" s="29">
        <f t="shared" si="6"/>
        <v>99</v>
      </c>
      <c r="K125" s="29"/>
      <c r="L125" s="29">
        <f t="shared" si="7"/>
        <v>99</v>
      </c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 spans="1:27">
      <c r="A126" s="29"/>
      <c r="B126" s="29"/>
      <c r="C126" s="29"/>
      <c r="D126" s="29"/>
      <c r="E126" s="29"/>
      <c r="F126" s="29"/>
      <c r="G126" s="29"/>
      <c r="H126" s="29"/>
      <c r="I126" s="29">
        <f t="shared" si="5"/>
        <v>99</v>
      </c>
      <c r="J126" s="29">
        <f t="shared" si="6"/>
        <v>99</v>
      </c>
      <c r="K126" s="29"/>
      <c r="L126" s="29">
        <f t="shared" si="7"/>
        <v>99</v>
      </c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 spans="1:27">
      <c r="A127" s="29"/>
      <c r="B127" s="29"/>
      <c r="C127" s="29"/>
      <c r="D127" s="29"/>
      <c r="E127" s="29"/>
      <c r="F127" s="29"/>
      <c r="G127" s="29"/>
      <c r="H127" s="29"/>
      <c r="I127" s="29">
        <f t="shared" si="5"/>
        <v>99</v>
      </c>
      <c r="J127" s="29">
        <f t="shared" si="6"/>
        <v>99</v>
      </c>
      <c r="K127" s="29"/>
      <c r="L127" s="29">
        <f t="shared" si="7"/>
        <v>99</v>
      </c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 spans="1:27">
      <c r="A128" s="29"/>
      <c r="B128" s="29"/>
      <c r="C128" s="29"/>
      <c r="D128" s="29"/>
      <c r="E128" s="29"/>
      <c r="F128" s="29"/>
      <c r="G128" s="29"/>
      <c r="H128" s="29"/>
      <c r="I128" s="29">
        <f t="shared" si="5"/>
        <v>99</v>
      </c>
      <c r="J128" s="29">
        <f t="shared" si="6"/>
        <v>99</v>
      </c>
      <c r="K128" s="29"/>
      <c r="L128" s="29">
        <f t="shared" si="7"/>
        <v>99</v>
      </c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 spans="1:27">
      <c r="A129" s="29"/>
      <c r="B129" s="29"/>
      <c r="C129" s="29"/>
      <c r="D129" s="29"/>
      <c r="E129" s="29"/>
      <c r="F129" s="29"/>
      <c r="G129" s="29"/>
      <c r="H129" s="29"/>
      <c r="I129" s="29">
        <f t="shared" si="5"/>
        <v>99</v>
      </c>
      <c r="J129" s="29">
        <f t="shared" si="6"/>
        <v>99</v>
      </c>
      <c r="K129" s="29"/>
      <c r="L129" s="29">
        <f t="shared" si="7"/>
        <v>99</v>
      </c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 spans="1:27">
      <c r="A130" s="29"/>
      <c r="B130" s="29"/>
      <c r="C130" s="29"/>
      <c r="D130" s="29"/>
      <c r="E130" s="29"/>
      <c r="F130" s="29"/>
      <c r="G130" s="29"/>
      <c r="H130" s="29"/>
      <c r="I130" s="29">
        <f t="shared" si="5"/>
        <v>99</v>
      </c>
      <c r="J130" s="29">
        <f t="shared" si="6"/>
        <v>99</v>
      </c>
      <c r="K130" s="29"/>
      <c r="L130" s="29">
        <f t="shared" si="7"/>
        <v>99</v>
      </c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 spans="1:27">
      <c r="A131" s="29"/>
      <c r="B131" s="29"/>
      <c r="C131" s="29"/>
      <c r="D131" s="29"/>
      <c r="E131" s="29"/>
      <c r="F131" s="29"/>
      <c r="G131" s="29"/>
      <c r="H131" s="29"/>
      <c r="I131" s="29">
        <f t="shared" ref="I131:I194" si="8">IF($A131="投手",1,IF($D131="投手",2,IF($A131="野手",3,IF(OR($D131="野手",$D131="內野手",$D131="外野手",$D131="捕手"),4,99))))</f>
        <v>99</v>
      </c>
      <c r="J131" s="29">
        <f t="shared" si="6"/>
        <v>99</v>
      </c>
      <c r="K131" s="29"/>
      <c r="L131" s="29">
        <f t="shared" si="7"/>
        <v>99</v>
      </c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 spans="1:27">
      <c r="A132" s="29"/>
      <c r="B132" s="29"/>
      <c r="C132" s="29"/>
      <c r="D132" s="29"/>
      <c r="E132" s="29"/>
      <c r="F132" s="29"/>
      <c r="G132" s="29"/>
      <c r="H132" s="29"/>
      <c r="I132" s="29">
        <f t="shared" si="8"/>
        <v>99</v>
      </c>
      <c r="J132" s="29">
        <f t="shared" si="6"/>
        <v>99</v>
      </c>
      <c r="K132" s="29"/>
      <c r="L132" s="29">
        <f t="shared" si="7"/>
        <v>99</v>
      </c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 spans="1:27">
      <c r="A133" s="29"/>
      <c r="B133" s="29"/>
      <c r="C133" s="29"/>
      <c r="D133" s="29"/>
      <c r="E133" s="29"/>
      <c r="F133" s="29"/>
      <c r="G133" s="29"/>
      <c r="H133" s="29"/>
      <c r="I133" s="29">
        <f t="shared" si="8"/>
        <v>99</v>
      </c>
      <c r="J133" s="29">
        <f t="shared" si="6"/>
        <v>99</v>
      </c>
      <c r="K133" s="29"/>
      <c r="L133" s="29">
        <f t="shared" si="7"/>
        <v>99</v>
      </c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 spans="1:27">
      <c r="A134" s="29"/>
      <c r="B134" s="29"/>
      <c r="C134" s="29"/>
      <c r="D134" s="29"/>
      <c r="E134" s="29"/>
      <c r="F134" s="29"/>
      <c r="G134" s="29"/>
      <c r="H134" s="29"/>
      <c r="I134" s="29">
        <f t="shared" si="8"/>
        <v>99</v>
      </c>
      <c r="J134" s="29">
        <f t="shared" si="6"/>
        <v>99</v>
      </c>
      <c r="K134" s="29"/>
      <c r="L134" s="29">
        <f t="shared" si="7"/>
        <v>99</v>
      </c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 spans="1:27">
      <c r="A135" s="29"/>
      <c r="B135" s="29"/>
      <c r="C135" s="29"/>
      <c r="D135" s="29"/>
      <c r="E135" s="29"/>
      <c r="F135" s="29"/>
      <c r="G135" s="29"/>
      <c r="H135" s="29"/>
      <c r="I135" s="29">
        <f t="shared" si="8"/>
        <v>99</v>
      </c>
      <c r="J135" s="29">
        <f t="shared" si="6"/>
        <v>99</v>
      </c>
      <c r="K135" s="29"/>
      <c r="L135" s="29">
        <f t="shared" si="7"/>
        <v>99</v>
      </c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 spans="1:27">
      <c r="A136" s="29"/>
      <c r="B136" s="29"/>
      <c r="C136" s="29"/>
      <c r="D136" s="29"/>
      <c r="E136" s="29"/>
      <c r="F136" s="29"/>
      <c r="G136" s="29"/>
      <c r="H136" s="29"/>
      <c r="I136" s="29">
        <f t="shared" si="8"/>
        <v>99</v>
      </c>
      <c r="J136" s="29">
        <f t="shared" si="6"/>
        <v>99</v>
      </c>
      <c r="K136" s="29"/>
      <c r="L136" s="29">
        <f t="shared" si="7"/>
        <v>99</v>
      </c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 spans="1:27">
      <c r="A137" s="29"/>
      <c r="B137" s="29"/>
      <c r="C137" s="29"/>
      <c r="D137" s="29"/>
      <c r="E137" s="29"/>
      <c r="F137" s="29"/>
      <c r="G137" s="29"/>
      <c r="H137" s="29"/>
      <c r="I137" s="29">
        <f t="shared" si="8"/>
        <v>99</v>
      </c>
      <c r="J137" s="29">
        <f t="shared" si="6"/>
        <v>99</v>
      </c>
      <c r="K137" s="29"/>
      <c r="L137" s="29">
        <f t="shared" si="7"/>
        <v>99</v>
      </c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 spans="1:27">
      <c r="A138" s="29"/>
      <c r="B138" s="29"/>
      <c r="C138" s="29"/>
      <c r="D138" s="29"/>
      <c r="E138" s="29"/>
      <c r="F138" s="29"/>
      <c r="G138" s="29"/>
      <c r="H138" s="29"/>
      <c r="I138" s="29">
        <f t="shared" si="8"/>
        <v>99</v>
      </c>
      <c r="J138" s="29">
        <f t="shared" si="6"/>
        <v>99</v>
      </c>
      <c r="K138" s="29"/>
      <c r="L138" s="29">
        <f t="shared" si="7"/>
        <v>99</v>
      </c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 spans="1:27">
      <c r="A139" s="29"/>
      <c r="B139" s="29"/>
      <c r="C139" s="29"/>
      <c r="D139" s="29"/>
      <c r="E139" s="29"/>
      <c r="F139" s="29"/>
      <c r="G139" s="29"/>
      <c r="H139" s="29"/>
      <c r="I139" s="29">
        <f t="shared" si="8"/>
        <v>99</v>
      </c>
      <c r="J139" s="29">
        <f t="shared" si="6"/>
        <v>99</v>
      </c>
      <c r="K139" s="29"/>
      <c r="L139" s="29">
        <f t="shared" si="7"/>
        <v>99</v>
      </c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 spans="1:27">
      <c r="A140" s="29"/>
      <c r="B140" s="29"/>
      <c r="C140" s="29"/>
      <c r="D140" s="29"/>
      <c r="E140" s="29"/>
      <c r="F140" s="29"/>
      <c r="G140" s="29"/>
      <c r="H140" s="29"/>
      <c r="I140" s="29">
        <f t="shared" si="8"/>
        <v>99</v>
      </c>
      <c r="J140" s="29">
        <f t="shared" si="6"/>
        <v>99</v>
      </c>
      <c r="K140" s="29"/>
      <c r="L140" s="29">
        <f t="shared" si="7"/>
        <v>99</v>
      </c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 spans="1:27">
      <c r="A141" s="29"/>
      <c r="B141" s="29"/>
      <c r="C141" s="29"/>
      <c r="D141" s="29"/>
      <c r="E141" s="29"/>
      <c r="F141" s="29"/>
      <c r="G141" s="29"/>
      <c r="H141" s="29"/>
      <c r="I141" s="29">
        <f t="shared" si="8"/>
        <v>99</v>
      </c>
      <c r="J141" s="29">
        <f t="shared" si="6"/>
        <v>99</v>
      </c>
      <c r="K141" s="29"/>
      <c r="L141" s="29">
        <f t="shared" si="7"/>
        <v>99</v>
      </c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 spans="1:27">
      <c r="A142" s="29"/>
      <c r="B142" s="29"/>
      <c r="C142" s="29"/>
      <c r="D142" s="29"/>
      <c r="E142" s="29"/>
      <c r="F142" s="29"/>
      <c r="G142" s="29"/>
      <c r="H142" s="29"/>
      <c r="I142" s="29">
        <f t="shared" si="8"/>
        <v>99</v>
      </c>
      <c r="J142" s="29">
        <f t="shared" si="6"/>
        <v>99</v>
      </c>
      <c r="K142" s="29"/>
      <c r="L142" s="29">
        <f t="shared" si="7"/>
        <v>99</v>
      </c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 spans="1:27">
      <c r="A143" s="29"/>
      <c r="B143" s="29"/>
      <c r="C143" s="29"/>
      <c r="D143" s="29"/>
      <c r="E143" s="29"/>
      <c r="F143" s="29"/>
      <c r="G143" s="29"/>
      <c r="H143" s="29"/>
      <c r="I143" s="29">
        <f t="shared" si="8"/>
        <v>99</v>
      </c>
      <c r="J143" s="29">
        <f t="shared" si="6"/>
        <v>99</v>
      </c>
      <c r="K143" s="29"/>
      <c r="L143" s="29">
        <f t="shared" si="7"/>
        <v>99</v>
      </c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 spans="1:27">
      <c r="A144" s="29"/>
      <c r="B144" s="29"/>
      <c r="C144" s="29"/>
      <c r="D144" s="29"/>
      <c r="E144" s="29"/>
      <c r="F144" s="29"/>
      <c r="G144" s="29"/>
      <c r="H144" s="29"/>
      <c r="I144" s="29">
        <f t="shared" si="8"/>
        <v>99</v>
      </c>
      <c r="J144" s="29">
        <f t="shared" si="6"/>
        <v>99</v>
      </c>
      <c r="K144" s="29"/>
      <c r="L144" s="29">
        <f t="shared" si="7"/>
        <v>99</v>
      </c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 spans="1:27">
      <c r="A145" s="29"/>
      <c r="B145" s="29"/>
      <c r="C145" s="29"/>
      <c r="D145" s="29"/>
      <c r="E145" s="29"/>
      <c r="F145" s="29"/>
      <c r="G145" s="29"/>
      <c r="H145" s="29"/>
      <c r="I145" s="29">
        <f t="shared" si="8"/>
        <v>99</v>
      </c>
      <c r="J145" s="29">
        <f t="shared" si="6"/>
        <v>99</v>
      </c>
      <c r="K145" s="29"/>
      <c r="L145" s="29">
        <f t="shared" si="7"/>
        <v>99</v>
      </c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 spans="1:27">
      <c r="A146" s="29"/>
      <c r="B146" s="29"/>
      <c r="C146" s="29"/>
      <c r="D146" s="29"/>
      <c r="E146" s="29"/>
      <c r="F146" s="29"/>
      <c r="G146" s="29"/>
      <c r="H146" s="29"/>
      <c r="I146" s="29">
        <f t="shared" si="8"/>
        <v>99</v>
      </c>
      <c r="J146" s="29">
        <f t="shared" si="6"/>
        <v>99</v>
      </c>
      <c r="K146" s="29"/>
      <c r="L146" s="29">
        <f t="shared" si="7"/>
        <v>99</v>
      </c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 spans="1:27">
      <c r="A147" s="29"/>
      <c r="B147" s="29"/>
      <c r="C147" s="29"/>
      <c r="D147" s="29"/>
      <c r="E147" s="29"/>
      <c r="F147" s="29"/>
      <c r="G147" s="29"/>
      <c r="H147" s="29"/>
      <c r="I147" s="29">
        <f t="shared" si="8"/>
        <v>99</v>
      </c>
      <c r="J147" s="29">
        <f t="shared" si="6"/>
        <v>99</v>
      </c>
      <c r="K147" s="29"/>
      <c r="L147" s="29">
        <f t="shared" si="7"/>
        <v>99</v>
      </c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 spans="1:27">
      <c r="A148" s="29"/>
      <c r="B148" s="29"/>
      <c r="C148" s="29"/>
      <c r="D148" s="29"/>
      <c r="E148" s="29"/>
      <c r="F148" s="29"/>
      <c r="G148" s="29"/>
      <c r="H148" s="29"/>
      <c r="I148" s="29">
        <f t="shared" si="8"/>
        <v>99</v>
      </c>
      <c r="J148" s="29">
        <f t="shared" si="6"/>
        <v>99</v>
      </c>
      <c r="K148" s="29"/>
      <c r="L148" s="29">
        <f t="shared" si="7"/>
        <v>99</v>
      </c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 spans="1:27">
      <c r="A149" s="29"/>
      <c r="B149" s="29"/>
      <c r="C149" s="29"/>
      <c r="D149" s="29"/>
      <c r="E149" s="29"/>
      <c r="F149" s="29"/>
      <c r="G149" s="29"/>
      <c r="H149" s="29"/>
      <c r="I149" s="29">
        <f t="shared" si="8"/>
        <v>99</v>
      </c>
      <c r="J149" s="29">
        <f t="shared" si="6"/>
        <v>99</v>
      </c>
      <c r="K149" s="29"/>
      <c r="L149" s="29">
        <f t="shared" si="7"/>
        <v>99</v>
      </c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 spans="1:27">
      <c r="A150" s="29"/>
      <c r="B150" s="29"/>
      <c r="C150" s="29"/>
      <c r="D150" s="29"/>
      <c r="E150" s="29"/>
      <c r="F150" s="29"/>
      <c r="G150" s="29"/>
      <c r="H150" s="29"/>
      <c r="I150" s="29">
        <f t="shared" si="8"/>
        <v>99</v>
      </c>
      <c r="J150" s="29">
        <f t="shared" si="6"/>
        <v>99</v>
      </c>
      <c r="K150" s="29"/>
      <c r="L150" s="29">
        <f t="shared" si="7"/>
        <v>99</v>
      </c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 spans="1:27">
      <c r="A151" s="29"/>
      <c r="B151" s="29"/>
      <c r="C151" s="29"/>
      <c r="D151" s="29"/>
      <c r="E151" s="29"/>
      <c r="F151" s="29"/>
      <c r="G151" s="29"/>
      <c r="H151" s="29"/>
      <c r="I151" s="29">
        <f t="shared" si="8"/>
        <v>99</v>
      </c>
      <c r="J151" s="29">
        <f t="shared" si="6"/>
        <v>99</v>
      </c>
      <c r="K151" s="29"/>
      <c r="L151" s="29">
        <f t="shared" si="7"/>
        <v>99</v>
      </c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 spans="1:27">
      <c r="A152" s="29"/>
      <c r="B152" s="29"/>
      <c r="C152" s="29"/>
      <c r="D152" s="29"/>
      <c r="E152" s="29"/>
      <c r="F152" s="29"/>
      <c r="G152" s="29"/>
      <c r="H152" s="29"/>
      <c r="I152" s="29">
        <f t="shared" si="8"/>
        <v>99</v>
      </c>
      <c r="J152" s="29">
        <f t="shared" si="6"/>
        <v>99</v>
      </c>
      <c r="K152" s="29"/>
      <c r="L152" s="29">
        <f t="shared" si="7"/>
        <v>99</v>
      </c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 spans="1:27">
      <c r="A153" s="29"/>
      <c r="B153" s="29"/>
      <c r="C153" s="29"/>
      <c r="D153" s="29"/>
      <c r="E153" s="29"/>
      <c r="F153" s="29"/>
      <c r="G153" s="29"/>
      <c r="H153" s="29"/>
      <c r="I153" s="29">
        <f t="shared" si="8"/>
        <v>99</v>
      </c>
      <c r="J153" s="29">
        <f t="shared" si="6"/>
        <v>99</v>
      </c>
      <c r="K153" s="29"/>
      <c r="L153" s="29">
        <f t="shared" si="7"/>
        <v>99</v>
      </c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 spans="1:27">
      <c r="A154" s="29"/>
      <c r="B154" s="29"/>
      <c r="C154" s="29"/>
      <c r="D154" s="29"/>
      <c r="E154" s="29"/>
      <c r="F154" s="29"/>
      <c r="G154" s="29"/>
      <c r="H154" s="29"/>
      <c r="I154" s="29">
        <f t="shared" si="8"/>
        <v>99</v>
      </c>
      <c r="J154" s="29">
        <f t="shared" si="6"/>
        <v>99</v>
      </c>
      <c r="K154" s="29"/>
      <c r="L154" s="29">
        <f t="shared" si="7"/>
        <v>99</v>
      </c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 spans="1:27">
      <c r="A155" s="29"/>
      <c r="B155" s="29"/>
      <c r="C155" s="29"/>
      <c r="D155" s="29"/>
      <c r="E155" s="29"/>
      <c r="F155" s="29"/>
      <c r="G155" s="29"/>
      <c r="H155" s="29"/>
      <c r="I155" s="29">
        <f t="shared" si="8"/>
        <v>99</v>
      </c>
      <c r="J155" s="29">
        <f t="shared" si="6"/>
        <v>99</v>
      </c>
      <c r="K155" s="29"/>
      <c r="L155" s="29">
        <f t="shared" si="7"/>
        <v>99</v>
      </c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 spans="1:27">
      <c r="A156" s="29"/>
      <c r="B156" s="29"/>
      <c r="C156" s="29"/>
      <c r="D156" s="29"/>
      <c r="E156" s="29"/>
      <c r="F156" s="29"/>
      <c r="G156" s="29"/>
      <c r="H156" s="29"/>
      <c r="I156" s="29">
        <f t="shared" si="8"/>
        <v>99</v>
      </c>
      <c r="J156" s="29">
        <f t="shared" si="6"/>
        <v>99</v>
      </c>
      <c r="K156" s="29"/>
      <c r="L156" s="29">
        <f t="shared" si="7"/>
        <v>99</v>
      </c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 spans="1:27">
      <c r="A157" s="29"/>
      <c r="B157" s="29"/>
      <c r="C157" s="29"/>
      <c r="D157" s="29"/>
      <c r="E157" s="29"/>
      <c r="F157" s="29"/>
      <c r="G157" s="29"/>
      <c r="H157" s="29"/>
      <c r="I157" s="29">
        <f t="shared" si="8"/>
        <v>99</v>
      </c>
      <c r="J157" s="29">
        <f t="shared" si="6"/>
        <v>99</v>
      </c>
      <c r="K157" s="29"/>
      <c r="L157" s="29">
        <f t="shared" si="7"/>
        <v>99</v>
      </c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 spans="1:27">
      <c r="A158" s="29"/>
      <c r="B158" s="29"/>
      <c r="C158" s="29"/>
      <c r="D158" s="29"/>
      <c r="E158" s="29"/>
      <c r="F158" s="29"/>
      <c r="G158" s="29"/>
      <c r="H158" s="29"/>
      <c r="I158" s="29">
        <f t="shared" si="8"/>
        <v>99</v>
      </c>
      <c r="J158" s="29">
        <f t="shared" si="6"/>
        <v>99</v>
      </c>
      <c r="K158" s="29"/>
      <c r="L158" s="29">
        <f t="shared" si="7"/>
        <v>99</v>
      </c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 spans="1:27">
      <c r="A159" s="29"/>
      <c r="B159" s="29"/>
      <c r="C159" s="29"/>
      <c r="D159" s="29"/>
      <c r="E159" s="29"/>
      <c r="F159" s="29"/>
      <c r="G159" s="29"/>
      <c r="H159" s="29"/>
      <c r="I159" s="29">
        <f t="shared" si="8"/>
        <v>99</v>
      </c>
      <c r="J159" s="29">
        <f t="shared" si="6"/>
        <v>99</v>
      </c>
      <c r="K159" s="29"/>
      <c r="L159" s="29">
        <f t="shared" si="7"/>
        <v>99</v>
      </c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 spans="1:27">
      <c r="A160" s="29"/>
      <c r="B160" s="29"/>
      <c r="C160" s="29"/>
      <c r="D160" s="29"/>
      <c r="E160" s="29"/>
      <c r="F160" s="29"/>
      <c r="G160" s="29"/>
      <c r="H160" s="29"/>
      <c r="I160" s="29">
        <f t="shared" si="8"/>
        <v>99</v>
      </c>
      <c r="J160" s="29">
        <f t="shared" si="6"/>
        <v>99</v>
      </c>
      <c r="K160" s="29"/>
      <c r="L160" s="29">
        <f t="shared" si="7"/>
        <v>99</v>
      </c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 spans="1:27">
      <c r="A161" s="29"/>
      <c r="B161" s="29"/>
      <c r="C161" s="29"/>
      <c r="D161" s="29"/>
      <c r="E161" s="29"/>
      <c r="F161" s="29"/>
      <c r="G161" s="29"/>
      <c r="H161" s="29"/>
      <c r="I161" s="29">
        <f t="shared" si="8"/>
        <v>99</v>
      </c>
      <c r="J161" s="29">
        <f t="shared" si="6"/>
        <v>99</v>
      </c>
      <c r="K161" s="29"/>
      <c r="L161" s="29">
        <f t="shared" si="7"/>
        <v>99</v>
      </c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 spans="1:27">
      <c r="A162" s="29"/>
      <c r="B162" s="29"/>
      <c r="C162" s="29"/>
      <c r="D162" s="29"/>
      <c r="E162" s="29"/>
      <c r="F162" s="29"/>
      <c r="G162" s="29"/>
      <c r="H162" s="29"/>
      <c r="I162" s="29">
        <f t="shared" si="8"/>
        <v>99</v>
      </c>
      <c r="J162" s="29">
        <f t="shared" si="6"/>
        <v>99</v>
      </c>
      <c r="K162" s="29"/>
      <c r="L162" s="29">
        <f t="shared" si="7"/>
        <v>99</v>
      </c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 spans="1:27">
      <c r="A163" s="29"/>
      <c r="B163" s="29"/>
      <c r="C163" s="29"/>
      <c r="D163" s="29"/>
      <c r="E163" s="29"/>
      <c r="F163" s="29"/>
      <c r="G163" s="29"/>
      <c r="H163" s="29"/>
      <c r="I163" s="29">
        <f t="shared" si="8"/>
        <v>99</v>
      </c>
      <c r="J163" s="29">
        <f t="shared" si="6"/>
        <v>99</v>
      </c>
      <c r="K163" s="29"/>
      <c r="L163" s="29">
        <f t="shared" si="7"/>
        <v>99</v>
      </c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 spans="1:27">
      <c r="A164" s="29"/>
      <c r="B164" s="29"/>
      <c r="C164" s="29"/>
      <c r="D164" s="29"/>
      <c r="E164" s="29"/>
      <c r="F164" s="29"/>
      <c r="G164" s="29"/>
      <c r="H164" s="29"/>
      <c r="I164" s="29">
        <f t="shared" si="8"/>
        <v>99</v>
      </c>
      <c r="J164" s="29">
        <f t="shared" si="6"/>
        <v>99</v>
      </c>
      <c r="K164" s="29"/>
      <c r="L164" s="29">
        <f t="shared" si="7"/>
        <v>99</v>
      </c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 spans="1:27">
      <c r="A165" s="29"/>
      <c r="B165" s="29"/>
      <c r="C165" s="29"/>
      <c r="D165" s="29"/>
      <c r="E165" s="29"/>
      <c r="F165" s="29"/>
      <c r="G165" s="29"/>
      <c r="H165" s="29"/>
      <c r="I165" s="29">
        <f t="shared" si="8"/>
        <v>99</v>
      </c>
      <c r="J165" s="29">
        <f t="shared" si="6"/>
        <v>99</v>
      </c>
      <c r="K165" s="29"/>
      <c r="L165" s="29">
        <f t="shared" si="7"/>
        <v>99</v>
      </c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 spans="1:27">
      <c r="A166" s="29"/>
      <c r="B166" s="29"/>
      <c r="C166" s="29"/>
      <c r="D166" s="29"/>
      <c r="E166" s="29"/>
      <c r="F166" s="29"/>
      <c r="G166" s="29"/>
      <c r="H166" s="29"/>
      <c r="I166" s="29">
        <f t="shared" si="8"/>
        <v>99</v>
      </c>
      <c r="J166" s="29">
        <f t="shared" si="6"/>
        <v>99</v>
      </c>
      <c r="K166" s="29"/>
      <c r="L166" s="29">
        <f t="shared" si="7"/>
        <v>99</v>
      </c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 spans="1:27">
      <c r="A167" s="29"/>
      <c r="B167" s="29"/>
      <c r="C167" s="29"/>
      <c r="D167" s="29"/>
      <c r="E167" s="29"/>
      <c r="F167" s="29"/>
      <c r="G167" s="29"/>
      <c r="H167" s="29"/>
      <c r="I167" s="29">
        <f t="shared" si="8"/>
        <v>99</v>
      </c>
      <c r="J167" s="29">
        <f t="shared" si="6"/>
        <v>99</v>
      </c>
      <c r="K167" s="29"/>
      <c r="L167" s="29">
        <f t="shared" si="7"/>
        <v>99</v>
      </c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 spans="1:27">
      <c r="A168" s="29"/>
      <c r="B168" s="29"/>
      <c r="C168" s="29"/>
      <c r="D168" s="29"/>
      <c r="E168" s="29"/>
      <c r="F168" s="29"/>
      <c r="G168" s="29"/>
      <c r="H168" s="29"/>
      <c r="I168" s="29">
        <f t="shared" si="8"/>
        <v>99</v>
      </c>
      <c r="J168" s="29">
        <f t="shared" si="6"/>
        <v>99</v>
      </c>
      <c r="K168" s="29"/>
      <c r="L168" s="29">
        <f t="shared" si="7"/>
        <v>99</v>
      </c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 spans="1:27">
      <c r="A169" s="29"/>
      <c r="B169" s="29"/>
      <c r="C169" s="29"/>
      <c r="D169" s="29"/>
      <c r="E169" s="29"/>
      <c r="F169" s="29"/>
      <c r="G169" s="29"/>
      <c r="H169" s="29"/>
      <c r="I169" s="29">
        <f t="shared" si="8"/>
        <v>99</v>
      </c>
      <c r="J169" s="29">
        <f t="shared" si="6"/>
        <v>99</v>
      </c>
      <c r="K169" s="29"/>
      <c r="L169" s="29">
        <f t="shared" si="7"/>
        <v>99</v>
      </c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 spans="1:27">
      <c r="A170" s="29"/>
      <c r="B170" s="29"/>
      <c r="C170" s="29"/>
      <c r="D170" s="29"/>
      <c r="E170" s="29"/>
      <c r="F170" s="29"/>
      <c r="G170" s="29"/>
      <c r="H170" s="29"/>
      <c r="I170" s="29">
        <f t="shared" si="8"/>
        <v>99</v>
      </c>
      <c r="J170" s="29">
        <f t="shared" si="6"/>
        <v>99</v>
      </c>
      <c r="K170" s="29"/>
      <c r="L170" s="29">
        <f t="shared" si="7"/>
        <v>99</v>
      </c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 spans="1:27">
      <c r="A171" s="29"/>
      <c r="B171" s="29"/>
      <c r="C171" s="29"/>
      <c r="D171" s="29"/>
      <c r="E171" s="29"/>
      <c r="F171" s="29"/>
      <c r="G171" s="29"/>
      <c r="H171" s="29"/>
      <c r="I171" s="29">
        <f t="shared" si="8"/>
        <v>99</v>
      </c>
      <c r="J171" s="29">
        <f t="shared" si="6"/>
        <v>99</v>
      </c>
      <c r="K171" s="29"/>
      <c r="L171" s="29">
        <f t="shared" si="7"/>
        <v>99</v>
      </c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 spans="1:27">
      <c r="A172" s="29"/>
      <c r="B172" s="29"/>
      <c r="C172" s="29"/>
      <c r="D172" s="29"/>
      <c r="E172" s="29"/>
      <c r="F172" s="29"/>
      <c r="G172" s="29"/>
      <c r="H172" s="29"/>
      <c r="I172" s="29">
        <f t="shared" si="8"/>
        <v>99</v>
      </c>
      <c r="J172" s="29">
        <f t="shared" si="6"/>
        <v>99</v>
      </c>
      <c r="K172" s="29"/>
      <c r="L172" s="29">
        <f t="shared" si="7"/>
        <v>99</v>
      </c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 spans="1:27">
      <c r="A173" s="29"/>
      <c r="B173" s="29"/>
      <c r="C173" s="29"/>
      <c r="D173" s="29"/>
      <c r="E173" s="29"/>
      <c r="F173" s="29"/>
      <c r="G173" s="29"/>
      <c r="H173" s="29"/>
      <c r="I173" s="29">
        <f t="shared" si="8"/>
        <v>99</v>
      </c>
      <c r="J173" s="29">
        <f t="shared" ref="J173:J200" si="9">IF($B173="旅美",1,IF($B173="旅日",2,IF($B173="旅韓",3,IF($B173="台裔",4,IF($B173&lt;&gt;"",5,99)))))</f>
        <v>99</v>
      </c>
      <c r="K173" s="29"/>
      <c r="L173" s="29">
        <f t="shared" ref="L173:L200" si="10">IF($C173="MLB",1,IF($C173="3A",2,IF($C173="2A",3,IF(OR($C173="A+",$C173="高A"),4,IF($C173="1A",5,IF(OR($C173="RK",$C173="Rookie"),6,IF($C173="日職一軍",7,IF($C173="日職二軍",8,IF(OR($C173="韓職一軍",$C173="KBO"),9,IF($C173&lt;&gt;"",10,99))))))))))</f>
        <v>99</v>
      </c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 spans="1:27">
      <c r="A174" s="29"/>
      <c r="B174" s="29"/>
      <c r="C174" s="29"/>
      <c r="D174" s="29"/>
      <c r="E174" s="29"/>
      <c r="F174" s="29"/>
      <c r="G174" s="29"/>
      <c r="H174" s="29"/>
      <c r="I174" s="29">
        <f t="shared" si="8"/>
        <v>99</v>
      </c>
      <c r="J174" s="29">
        <f t="shared" si="9"/>
        <v>99</v>
      </c>
      <c r="K174" s="29"/>
      <c r="L174" s="29">
        <f t="shared" si="10"/>
        <v>99</v>
      </c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 spans="1:27">
      <c r="A175" s="29"/>
      <c r="B175" s="29"/>
      <c r="C175" s="29"/>
      <c r="D175" s="29"/>
      <c r="E175" s="29"/>
      <c r="F175" s="29"/>
      <c r="G175" s="29"/>
      <c r="H175" s="29"/>
      <c r="I175" s="29">
        <f t="shared" si="8"/>
        <v>99</v>
      </c>
      <c r="J175" s="29">
        <f t="shared" si="9"/>
        <v>99</v>
      </c>
      <c r="K175" s="29"/>
      <c r="L175" s="29">
        <f t="shared" si="10"/>
        <v>99</v>
      </c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 spans="1:27">
      <c r="A176" s="29"/>
      <c r="B176" s="29"/>
      <c r="C176" s="29"/>
      <c r="D176" s="29"/>
      <c r="E176" s="29"/>
      <c r="F176" s="29"/>
      <c r="G176" s="29"/>
      <c r="H176" s="29"/>
      <c r="I176" s="29">
        <f t="shared" si="8"/>
        <v>99</v>
      </c>
      <c r="J176" s="29">
        <f t="shared" si="9"/>
        <v>99</v>
      </c>
      <c r="K176" s="29"/>
      <c r="L176" s="29">
        <f t="shared" si="10"/>
        <v>99</v>
      </c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 spans="1:27">
      <c r="A177" s="29"/>
      <c r="B177" s="29"/>
      <c r="C177" s="29"/>
      <c r="D177" s="29"/>
      <c r="E177" s="29"/>
      <c r="F177" s="29"/>
      <c r="G177" s="29"/>
      <c r="H177" s="29"/>
      <c r="I177" s="29">
        <f t="shared" si="8"/>
        <v>99</v>
      </c>
      <c r="J177" s="29">
        <f t="shared" si="9"/>
        <v>99</v>
      </c>
      <c r="K177" s="29"/>
      <c r="L177" s="29">
        <f t="shared" si="10"/>
        <v>99</v>
      </c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 spans="1:27">
      <c r="A178" s="29"/>
      <c r="B178" s="29"/>
      <c r="C178" s="29"/>
      <c r="D178" s="29"/>
      <c r="E178" s="29"/>
      <c r="F178" s="29"/>
      <c r="G178" s="29"/>
      <c r="H178" s="29"/>
      <c r="I178" s="29">
        <f t="shared" si="8"/>
        <v>99</v>
      </c>
      <c r="J178" s="29">
        <f t="shared" si="9"/>
        <v>99</v>
      </c>
      <c r="K178" s="29"/>
      <c r="L178" s="29">
        <f t="shared" si="10"/>
        <v>99</v>
      </c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 spans="1:27">
      <c r="A179" s="29"/>
      <c r="B179" s="29"/>
      <c r="C179" s="29"/>
      <c r="D179" s="29"/>
      <c r="E179" s="29"/>
      <c r="F179" s="29"/>
      <c r="G179" s="29"/>
      <c r="H179" s="29"/>
      <c r="I179" s="29">
        <f t="shared" si="8"/>
        <v>99</v>
      </c>
      <c r="J179" s="29">
        <f t="shared" si="9"/>
        <v>99</v>
      </c>
      <c r="K179" s="29"/>
      <c r="L179" s="29">
        <f t="shared" si="10"/>
        <v>99</v>
      </c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 spans="1:27">
      <c r="A180" s="29"/>
      <c r="B180" s="29"/>
      <c r="C180" s="29"/>
      <c r="D180" s="29"/>
      <c r="E180" s="29"/>
      <c r="F180" s="29"/>
      <c r="G180" s="29"/>
      <c r="H180" s="29"/>
      <c r="I180" s="29">
        <f t="shared" si="8"/>
        <v>99</v>
      </c>
      <c r="J180" s="29">
        <f t="shared" si="9"/>
        <v>99</v>
      </c>
      <c r="K180" s="29"/>
      <c r="L180" s="29">
        <f t="shared" si="10"/>
        <v>99</v>
      </c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 spans="1:27">
      <c r="A181" s="29"/>
      <c r="B181" s="29"/>
      <c r="C181" s="29"/>
      <c r="D181" s="29"/>
      <c r="E181" s="29"/>
      <c r="F181" s="29"/>
      <c r="G181" s="29"/>
      <c r="H181" s="29"/>
      <c r="I181" s="29">
        <f t="shared" si="8"/>
        <v>99</v>
      </c>
      <c r="J181" s="29">
        <f t="shared" si="9"/>
        <v>99</v>
      </c>
      <c r="K181" s="29"/>
      <c r="L181" s="29">
        <f t="shared" si="10"/>
        <v>99</v>
      </c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 spans="1:27">
      <c r="A182" s="29"/>
      <c r="B182" s="29"/>
      <c r="C182" s="29"/>
      <c r="D182" s="29"/>
      <c r="E182" s="29"/>
      <c r="F182" s="29"/>
      <c r="G182" s="29"/>
      <c r="H182" s="29"/>
      <c r="I182" s="29">
        <f t="shared" si="8"/>
        <v>99</v>
      </c>
      <c r="J182" s="29">
        <f t="shared" si="9"/>
        <v>99</v>
      </c>
      <c r="K182" s="29"/>
      <c r="L182" s="29">
        <f t="shared" si="10"/>
        <v>99</v>
      </c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 spans="1:27">
      <c r="A183" s="29"/>
      <c r="B183" s="29"/>
      <c r="C183" s="29"/>
      <c r="D183" s="29"/>
      <c r="E183" s="29"/>
      <c r="F183" s="29"/>
      <c r="G183" s="29"/>
      <c r="H183" s="29"/>
      <c r="I183" s="29">
        <f t="shared" si="8"/>
        <v>99</v>
      </c>
      <c r="J183" s="29">
        <f t="shared" si="9"/>
        <v>99</v>
      </c>
      <c r="K183" s="29"/>
      <c r="L183" s="29">
        <f t="shared" si="10"/>
        <v>99</v>
      </c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 spans="1:27">
      <c r="A184" s="29"/>
      <c r="B184" s="29"/>
      <c r="C184" s="29"/>
      <c r="D184" s="29"/>
      <c r="E184" s="29"/>
      <c r="F184" s="29"/>
      <c r="G184" s="29"/>
      <c r="H184" s="29"/>
      <c r="I184" s="29">
        <f t="shared" si="8"/>
        <v>99</v>
      </c>
      <c r="J184" s="29">
        <f t="shared" si="9"/>
        <v>99</v>
      </c>
      <c r="K184" s="29"/>
      <c r="L184" s="29">
        <f t="shared" si="10"/>
        <v>99</v>
      </c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 spans="1:27">
      <c r="A185" s="29"/>
      <c r="B185" s="29"/>
      <c r="C185" s="29"/>
      <c r="D185" s="29"/>
      <c r="E185" s="29"/>
      <c r="F185" s="29"/>
      <c r="G185" s="29"/>
      <c r="H185" s="29"/>
      <c r="I185" s="29">
        <f t="shared" si="8"/>
        <v>99</v>
      </c>
      <c r="J185" s="29">
        <f t="shared" si="9"/>
        <v>99</v>
      </c>
      <c r="K185" s="29"/>
      <c r="L185" s="29">
        <f t="shared" si="10"/>
        <v>99</v>
      </c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 spans="1:27">
      <c r="A186" s="29"/>
      <c r="B186" s="29"/>
      <c r="C186" s="29"/>
      <c r="D186" s="29"/>
      <c r="E186" s="29"/>
      <c r="F186" s="29"/>
      <c r="G186" s="29"/>
      <c r="H186" s="29"/>
      <c r="I186" s="29">
        <f t="shared" si="8"/>
        <v>99</v>
      </c>
      <c r="J186" s="29">
        <f t="shared" si="9"/>
        <v>99</v>
      </c>
      <c r="K186" s="29"/>
      <c r="L186" s="29">
        <f t="shared" si="10"/>
        <v>99</v>
      </c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 spans="1:27">
      <c r="A187" s="29"/>
      <c r="B187" s="29"/>
      <c r="C187" s="29"/>
      <c r="D187" s="29"/>
      <c r="E187" s="29"/>
      <c r="F187" s="29"/>
      <c r="G187" s="29"/>
      <c r="H187" s="29"/>
      <c r="I187" s="29">
        <f t="shared" si="8"/>
        <v>99</v>
      </c>
      <c r="J187" s="29">
        <f t="shared" si="9"/>
        <v>99</v>
      </c>
      <c r="K187" s="29"/>
      <c r="L187" s="29">
        <f t="shared" si="10"/>
        <v>99</v>
      </c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 spans="1:27">
      <c r="A188" s="29"/>
      <c r="B188" s="29"/>
      <c r="C188" s="29"/>
      <c r="D188" s="29"/>
      <c r="E188" s="29"/>
      <c r="F188" s="29"/>
      <c r="G188" s="29"/>
      <c r="H188" s="29"/>
      <c r="I188" s="29">
        <f t="shared" si="8"/>
        <v>99</v>
      </c>
      <c r="J188" s="29">
        <f t="shared" si="9"/>
        <v>99</v>
      </c>
      <c r="K188" s="29"/>
      <c r="L188" s="29">
        <f t="shared" si="10"/>
        <v>99</v>
      </c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 spans="1:27">
      <c r="A189" s="29"/>
      <c r="B189" s="29"/>
      <c r="C189" s="29"/>
      <c r="D189" s="29"/>
      <c r="E189" s="29"/>
      <c r="F189" s="29"/>
      <c r="G189" s="29"/>
      <c r="H189" s="29"/>
      <c r="I189" s="29">
        <f t="shared" si="8"/>
        <v>99</v>
      </c>
      <c r="J189" s="29">
        <f t="shared" si="9"/>
        <v>99</v>
      </c>
      <c r="K189" s="29"/>
      <c r="L189" s="29">
        <f t="shared" si="10"/>
        <v>99</v>
      </c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 spans="1:27">
      <c r="A190" s="29"/>
      <c r="B190" s="29"/>
      <c r="C190" s="29"/>
      <c r="D190" s="29"/>
      <c r="E190" s="29"/>
      <c r="F190" s="29"/>
      <c r="G190" s="29"/>
      <c r="H190" s="29"/>
      <c r="I190" s="29">
        <f t="shared" si="8"/>
        <v>99</v>
      </c>
      <c r="J190" s="29">
        <f t="shared" si="9"/>
        <v>99</v>
      </c>
      <c r="K190" s="29"/>
      <c r="L190" s="29">
        <f t="shared" si="10"/>
        <v>99</v>
      </c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 spans="1:27">
      <c r="A191" s="29"/>
      <c r="B191" s="29"/>
      <c r="C191" s="29"/>
      <c r="D191" s="29"/>
      <c r="E191" s="29"/>
      <c r="F191" s="29"/>
      <c r="G191" s="29"/>
      <c r="H191" s="29"/>
      <c r="I191" s="29">
        <f t="shared" si="8"/>
        <v>99</v>
      </c>
      <c r="J191" s="29">
        <f t="shared" si="9"/>
        <v>99</v>
      </c>
      <c r="K191" s="29"/>
      <c r="L191" s="29">
        <f t="shared" si="10"/>
        <v>99</v>
      </c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 spans="1:27">
      <c r="A192" s="29"/>
      <c r="B192" s="29"/>
      <c r="C192" s="29"/>
      <c r="D192" s="29"/>
      <c r="E192" s="29"/>
      <c r="F192" s="29"/>
      <c r="G192" s="29"/>
      <c r="H192" s="29"/>
      <c r="I192" s="29">
        <f t="shared" si="8"/>
        <v>99</v>
      </c>
      <c r="J192" s="29">
        <f t="shared" si="9"/>
        <v>99</v>
      </c>
      <c r="K192" s="29"/>
      <c r="L192" s="29">
        <f t="shared" si="10"/>
        <v>99</v>
      </c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 spans="1:27">
      <c r="A193" s="29"/>
      <c r="B193" s="29"/>
      <c r="C193" s="29"/>
      <c r="D193" s="29"/>
      <c r="E193" s="29"/>
      <c r="F193" s="29"/>
      <c r="G193" s="29"/>
      <c r="H193" s="29"/>
      <c r="I193" s="29">
        <f t="shared" si="8"/>
        <v>99</v>
      </c>
      <c r="J193" s="29">
        <f t="shared" si="9"/>
        <v>99</v>
      </c>
      <c r="K193" s="29"/>
      <c r="L193" s="29">
        <f t="shared" si="10"/>
        <v>99</v>
      </c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 spans="1:27">
      <c r="A194" s="29"/>
      <c r="B194" s="29"/>
      <c r="C194" s="29"/>
      <c r="D194" s="29"/>
      <c r="E194" s="29"/>
      <c r="F194" s="29"/>
      <c r="G194" s="29"/>
      <c r="H194" s="29"/>
      <c r="I194" s="29">
        <f t="shared" si="8"/>
        <v>99</v>
      </c>
      <c r="J194" s="29">
        <f t="shared" si="9"/>
        <v>99</v>
      </c>
      <c r="K194" s="29"/>
      <c r="L194" s="29">
        <f t="shared" si="10"/>
        <v>99</v>
      </c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 spans="1:27">
      <c r="A195" s="29"/>
      <c r="B195" s="29"/>
      <c r="C195" s="29"/>
      <c r="D195" s="29"/>
      <c r="E195" s="29"/>
      <c r="F195" s="29"/>
      <c r="G195" s="29"/>
      <c r="H195" s="29"/>
      <c r="I195" s="29">
        <f t="shared" ref="I195:I200" si="11">IF($A195="投手",1,IF($D195="投手",2,IF($A195="野手",3,IF(OR($D195="野手",$D195="內野手",$D195="外野手",$D195="捕手"),4,99))))</f>
        <v>99</v>
      </c>
      <c r="J195" s="29">
        <f t="shared" si="9"/>
        <v>99</v>
      </c>
      <c r="K195" s="29"/>
      <c r="L195" s="29">
        <f t="shared" si="10"/>
        <v>99</v>
      </c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 spans="1:27">
      <c r="A196" s="29"/>
      <c r="B196" s="29"/>
      <c r="C196" s="29"/>
      <c r="D196" s="29"/>
      <c r="E196" s="29"/>
      <c r="F196" s="29"/>
      <c r="G196" s="29"/>
      <c r="H196" s="29"/>
      <c r="I196" s="29">
        <f t="shared" si="11"/>
        <v>99</v>
      </c>
      <c r="J196" s="29">
        <f t="shared" si="9"/>
        <v>99</v>
      </c>
      <c r="K196" s="29"/>
      <c r="L196" s="29">
        <f t="shared" si="10"/>
        <v>99</v>
      </c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 spans="1:27">
      <c r="A197" s="29"/>
      <c r="B197" s="29"/>
      <c r="C197" s="29"/>
      <c r="D197" s="29"/>
      <c r="E197" s="29"/>
      <c r="F197" s="29"/>
      <c r="G197" s="29"/>
      <c r="H197" s="29"/>
      <c r="I197" s="29">
        <f t="shared" si="11"/>
        <v>99</v>
      </c>
      <c r="J197" s="29">
        <f t="shared" si="9"/>
        <v>99</v>
      </c>
      <c r="K197" s="29"/>
      <c r="L197" s="29">
        <f t="shared" si="10"/>
        <v>99</v>
      </c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 spans="1:27">
      <c r="A198" s="29"/>
      <c r="B198" s="29"/>
      <c r="C198" s="29"/>
      <c r="D198" s="29"/>
      <c r="E198" s="29"/>
      <c r="F198" s="29"/>
      <c r="G198" s="29"/>
      <c r="H198" s="29"/>
      <c r="I198" s="29">
        <f t="shared" si="11"/>
        <v>99</v>
      </c>
      <c r="J198" s="29">
        <f t="shared" si="9"/>
        <v>99</v>
      </c>
      <c r="K198" s="29"/>
      <c r="L198" s="29">
        <f t="shared" si="10"/>
        <v>99</v>
      </c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 spans="1:27">
      <c r="A199" s="29"/>
      <c r="B199" s="29"/>
      <c r="C199" s="29"/>
      <c r="D199" s="29"/>
      <c r="E199" s="29"/>
      <c r="F199" s="29"/>
      <c r="G199" s="29"/>
      <c r="H199" s="29"/>
      <c r="I199" s="29">
        <f t="shared" si="11"/>
        <v>99</v>
      </c>
      <c r="J199" s="29">
        <f t="shared" si="9"/>
        <v>99</v>
      </c>
      <c r="K199" s="29"/>
      <c r="L199" s="29">
        <f t="shared" si="10"/>
        <v>99</v>
      </c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 spans="1:27">
      <c r="A200" s="29"/>
      <c r="B200" s="29"/>
      <c r="C200" s="29"/>
      <c r="D200" s="29"/>
      <c r="E200" s="29"/>
      <c r="F200" s="29"/>
      <c r="G200" s="29"/>
      <c r="H200" s="29"/>
      <c r="I200" s="29">
        <f t="shared" si="11"/>
        <v>99</v>
      </c>
      <c r="J200" s="29">
        <f t="shared" si="9"/>
        <v>99</v>
      </c>
      <c r="K200" s="29"/>
      <c r="L200" s="29">
        <f t="shared" si="10"/>
        <v>99</v>
      </c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60"/>
  <sheetViews>
    <sheetView workbookViewId="0"/>
  </sheetViews>
  <sheetFormatPr defaultRowHeight="16.5"/>
  <cols>
    <col min="1" max="1" width="19.375" style="12" customWidth="1"/>
    <col min="2" max="2" width="22.75" style="12" customWidth="1"/>
    <col min="3" max="6" width="9" style="12"/>
    <col min="7" max="7" width="20.5" style="12" customWidth="1"/>
    <col min="8" max="9" width="9" style="12"/>
    <col min="10" max="10" width="6" style="12" customWidth="1"/>
    <col min="11" max="12" width="11.5" style="12" customWidth="1"/>
    <col min="13" max="13" width="19.375" style="12" customWidth="1"/>
    <col min="14" max="14" width="11.5" style="12" customWidth="1"/>
    <col min="15" max="15" width="8.125" style="12" customWidth="1"/>
    <col min="16" max="16" width="10.25" style="12" customWidth="1"/>
    <col min="17" max="18" width="8.25" style="12" customWidth="1"/>
    <col min="19" max="19" width="12.75" style="12" customWidth="1"/>
    <col min="20" max="20" width="39.875" style="12" customWidth="1"/>
    <col min="21" max="21" width="8.125" style="12" customWidth="1"/>
    <col min="22" max="23" width="10.25" style="12" customWidth="1"/>
    <col min="24" max="24" width="11.5" style="12" customWidth="1"/>
    <col min="25" max="16384" width="9" style="12"/>
  </cols>
  <sheetData>
    <row r="1" spans="1:24" s="24" customFormat="1">
      <c r="A1" s="72" t="s">
        <v>7</v>
      </c>
      <c r="B1" s="72" t="s">
        <v>12</v>
      </c>
      <c r="C1" s="72" t="s">
        <v>13</v>
      </c>
      <c r="D1" s="72" t="s">
        <v>15</v>
      </c>
      <c r="E1" s="72" t="s">
        <v>83</v>
      </c>
      <c r="F1" s="72" t="s">
        <v>84</v>
      </c>
      <c r="G1" s="72" t="s">
        <v>16</v>
      </c>
      <c r="H1" s="72" t="s">
        <v>14</v>
      </c>
      <c r="I1" s="72" t="s">
        <v>9</v>
      </c>
      <c r="J1" s="72" t="s">
        <v>85</v>
      </c>
      <c r="K1" s="72" t="s">
        <v>86</v>
      </c>
      <c r="L1" s="72" t="s">
        <v>87</v>
      </c>
      <c r="M1" s="72" t="s">
        <v>88</v>
      </c>
      <c r="N1" s="72" t="s">
        <v>89</v>
      </c>
      <c r="O1" s="72" t="s">
        <v>90</v>
      </c>
      <c r="P1" s="72" t="s">
        <v>91</v>
      </c>
      <c r="Q1" s="72" t="s">
        <v>92</v>
      </c>
      <c r="R1" s="72" t="s">
        <v>93</v>
      </c>
      <c r="S1" s="72" t="s">
        <v>94</v>
      </c>
      <c r="T1" s="72" t="s">
        <v>95</v>
      </c>
      <c r="U1" s="72" t="s">
        <v>96</v>
      </c>
      <c r="V1" s="72" t="s">
        <v>97</v>
      </c>
      <c r="W1" s="72" t="s">
        <v>98</v>
      </c>
      <c r="X1" s="72" t="s">
        <v>99</v>
      </c>
    </row>
    <row r="2" spans="1:24">
      <c r="A2" s="13" t="s">
        <v>100</v>
      </c>
      <c r="B2" s="14" t="s">
        <v>101</v>
      </c>
      <c r="C2" s="14" t="s">
        <v>102</v>
      </c>
      <c r="D2" s="14" t="s">
        <v>5</v>
      </c>
      <c r="E2" s="14" t="s">
        <v>103</v>
      </c>
      <c r="F2" s="14" t="s">
        <v>104</v>
      </c>
      <c r="G2" s="14" t="s">
        <v>105</v>
      </c>
      <c r="H2" s="14" t="s">
        <v>104</v>
      </c>
      <c r="I2" s="14" t="s">
        <v>106</v>
      </c>
      <c r="J2" s="1"/>
      <c r="K2" s="12">
        <f>IF(C2="","",IF(C2="旅美",1,IF(C2="旅日",2,IF(C2="旅韓",3,IF(C2="其他",4,IF(C2="台裔",5,99))))))</f>
        <v>1</v>
      </c>
      <c r="L2" s="12">
        <f t="array" ref="L2">IF(H2="MLB",1,IF(H2="日職一軍",2,IF(H2="韓職一軍",3,IF(H2="3A",4,IF(H2="2A",5,IF(H2="A+",6,IF(H2="1A",7,IF(H2="RK",8,IF(H2="日職二軍",9,99)))))))))</f>
        <v>1</v>
      </c>
      <c r="M2" s="12" t="str">
        <f>IF(A2="","",A2)</f>
        <v xml:space="preserve">李灝宇 </v>
      </c>
      <c r="O2" s="12" t="str">
        <f>IF(AND($A2&lt;&gt;"",$I2&lt;&gt;"現役"),COUNTIFS($A$2:$A2,"&lt;&gt;",$I$2:$I2,"&lt;&gt;現役"),"")</f>
        <v/>
      </c>
      <c r="S2" s="12" t="str">
        <f>IF($A2="","",IF($I2="現役","現役",IF($Q2=10,"⚕ IL("&amp;IF($R2="","?",$R2)&amp;"/10)",IF($Q2=15,"⚕ IL("&amp;IF($R2="","?",$R2)&amp;"/15)",IF($Q2=60,"⚕ IL("&amp;IF($R2="","?",$R2)&amp;"/60)","⚕ 傷兵")))))</f>
        <v>現役</v>
      </c>
      <c r="V2" s="12" t="str">
        <f>IF($T2&lt;&gt;"",SUM($W$2:W2),"")</f>
        <v/>
      </c>
    </row>
    <row r="3" spans="1:24">
      <c r="A3" s="13" t="s">
        <v>107</v>
      </c>
      <c r="B3" s="14" t="s">
        <v>108</v>
      </c>
      <c r="C3" s="14" t="s">
        <v>102</v>
      </c>
      <c r="D3" s="14" t="s">
        <v>1</v>
      </c>
      <c r="E3" s="14" t="s">
        <v>103</v>
      </c>
      <c r="F3" s="14" t="s">
        <v>104</v>
      </c>
      <c r="G3" s="14" t="s">
        <v>109</v>
      </c>
      <c r="H3" s="14" t="s">
        <v>104</v>
      </c>
      <c r="I3" s="14" t="s">
        <v>106</v>
      </c>
      <c r="J3" s="1"/>
      <c r="K3" s="12">
        <f t="shared" ref="K3:K41" si="0">IF(C3="","",IF(C3="旅美",1,IF(C3="旅日",2,IF(C3="旅韓",3,IF(C3="其他",4,IF(C3="台裔",5,99))))))</f>
        <v>1</v>
      </c>
      <c r="L3" s="12">
        <f t="array" ref="L3">IF(H3="MLB",1,IF(H3="日職一軍",2,IF(H3="韓職一軍",3,IF(H3="3A",4,IF(H3="2A",5,IF(H3="A+",6,IF(H3="1A",7,IF(H3="RK",8,IF(H3="日職二軍",9,99)))))))))</f>
        <v>1</v>
      </c>
      <c r="M3" s="12" t="str">
        <f t="shared" ref="M3:M41" si="1">IF(A3="","",A3)</f>
        <v xml:space="preserve">鄧愷威 </v>
      </c>
      <c r="O3" s="12" t="str">
        <f>IF(AND($A3&lt;&gt;"",$I3&lt;&gt;"現役"),COUNTIFS($A$2:$A3,"&lt;&gt;",$I$2:$I3,"&lt;&gt;現役"),"")</f>
        <v/>
      </c>
      <c r="S3" s="12" t="str">
        <f t="shared" ref="S3:S41" si="2">IF($A3="","",IF($I3="現役","現役",IF($Q3=10,"⚕ IL("&amp;IF($R3="","?",$R3)&amp;"/10)",IF($Q3=15,"⚕ IL("&amp;IF($R3="","?",$R3)&amp;"/15)",IF($Q3=60,"⚕ IL("&amp;IF($R3="","?",$R3)&amp;"/60)","⚕ 傷兵")))))</f>
        <v>現役</v>
      </c>
      <c r="V3" s="12" t="str">
        <f>IF($T3&lt;&gt;"",SUM($W$2:W3),"")</f>
        <v/>
      </c>
    </row>
    <row r="4" spans="1:24">
      <c r="A4" s="13" t="s">
        <v>110</v>
      </c>
      <c r="B4" s="14" t="s">
        <v>111</v>
      </c>
      <c r="C4" s="14" t="s">
        <v>102</v>
      </c>
      <c r="D4" s="14" t="s">
        <v>1</v>
      </c>
      <c r="E4" s="14" t="s">
        <v>103</v>
      </c>
      <c r="F4" s="14" t="s">
        <v>112</v>
      </c>
      <c r="G4" s="14" t="s">
        <v>113</v>
      </c>
      <c r="H4" s="14" t="s">
        <v>114</v>
      </c>
      <c r="I4" s="14" t="s">
        <v>106</v>
      </c>
      <c r="J4" s="1"/>
      <c r="K4" s="12">
        <f t="shared" si="0"/>
        <v>1</v>
      </c>
      <c r="L4" s="12">
        <f t="array" ref="L4">IF(H4="MLB",1,IF(H4="日職一軍",2,IF(H4="韓職一軍",3,IF(H4="3A",4,IF(H4="2A",5,IF(H4="A+",6,IF(H4="1A",7,IF(H4="RK",8,IF(H4="日職二軍",9,99)))))))))</f>
        <v>4</v>
      </c>
      <c r="M4" s="12" t="str">
        <f t="shared" si="1"/>
        <v xml:space="preserve">林昱珉 </v>
      </c>
      <c r="O4" s="12" t="str">
        <f>IF(AND($A4&lt;&gt;"",$I4&lt;&gt;"現役"),COUNTIFS($A$2:$A4,"&lt;&gt;",$I$2:$I4,"&lt;&gt;現役"),"")</f>
        <v/>
      </c>
      <c r="S4" s="12" t="str">
        <f t="shared" si="2"/>
        <v>現役</v>
      </c>
      <c r="V4" s="12" t="str">
        <f>IF($T4&lt;&gt;"",SUM($W$2:W4),"")</f>
        <v/>
      </c>
    </row>
    <row r="5" spans="1:24">
      <c r="A5" s="13" t="s">
        <v>115</v>
      </c>
      <c r="B5" s="14" t="s">
        <v>116</v>
      </c>
      <c r="C5" s="14" t="s">
        <v>102</v>
      </c>
      <c r="D5" s="14" t="s">
        <v>5</v>
      </c>
      <c r="E5" s="14" t="s">
        <v>103</v>
      </c>
      <c r="F5" s="14" t="s">
        <v>112</v>
      </c>
      <c r="G5" s="14" t="s">
        <v>117</v>
      </c>
      <c r="H5" s="14" t="s">
        <v>114</v>
      </c>
      <c r="I5" s="14" t="s">
        <v>106</v>
      </c>
      <c r="J5" s="1"/>
      <c r="K5" s="12">
        <f t="shared" si="0"/>
        <v>1</v>
      </c>
      <c r="L5" s="12">
        <f t="array" ref="L5">IF(H5="MLB",1,IF(H5="日職一軍",2,IF(H5="韓職一軍",3,IF(H5="3A",4,IF(H5="2A",5,IF(H5="A+",6,IF(H5="1A",7,IF(H5="RK",8,IF(H5="日職二軍",9,99)))))))))</f>
        <v>4</v>
      </c>
      <c r="M5" s="12" t="str">
        <f t="shared" si="1"/>
        <v xml:space="preserve">鄭宗哲 </v>
      </c>
      <c r="O5" s="12" t="str">
        <f>IF(AND($A5&lt;&gt;"",$I5&lt;&gt;"現役"),COUNTIFS($A$2:$A5,"&lt;&gt;",$I$2:$I5,"&lt;&gt;現役"),"")</f>
        <v/>
      </c>
      <c r="S5" s="12" t="str">
        <f t="shared" si="2"/>
        <v>現役</v>
      </c>
      <c r="V5" s="12" t="str">
        <f>IF($T5&lt;&gt;"",SUM($W$2:W5),"")</f>
        <v/>
      </c>
    </row>
    <row r="6" spans="1:24">
      <c r="A6" s="13" t="s">
        <v>118</v>
      </c>
      <c r="B6" s="14" t="s">
        <v>119</v>
      </c>
      <c r="C6" s="14" t="s">
        <v>102</v>
      </c>
      <c r="D6" s="14" t="s">
        <v>1</v>
      </c>
      <c r="E6" s="14" t="s">
        <v>103</v>
      </c>
      <c r="F6" s="14" t="s">
        <v>112</v>
      </c>
      <c r="G6" s="14" t="s">
        <v>120</v>
      </c>
      <c r="H6" s="14" t="s">
        <v>121</v>
      </c>
      <c r="I6" s="14" t="s">
        <v>106</v>
      </c>
      <c r="J6" s="1"/>
      <c r="K6" s="12">
        <f t="shared" si="0"/>
        <v>1</v>
      </c>
      <c r="L6" s="12">
        <f t="array" ref="L6">IF(H6="MLB",1,IF(H6="日職一軍",2,IF(H6="韓職一軍",3,IF(H6="3A",4,IF(H6="2A",5,IF(H6="A+",6,IF(H6="1A",7,IF(H6="RK",8,IF(H6="日職二軍",9,99)))))))))</f>
        <v>5</v>
      </c>
      <c r="M6" s="12" t="str">
        <f t="shared" si="1"/>
        <v xml:space="preserve">林振瑋 </v>
      </c>
      <c r="O6" s="12" t="str">
        <f>IF(AND($A6&lt;&gt;"",$I6&lt;&gt;"現役"),COUNTIFS($A$2:$A6,"&lt;&gt;",$I$2:$I6,"&lt;&gt;現役"),"")</f>
        <v/>
      </c>
      <c r="S6" s="12" t="str">
        <f t="shared" si="2"/>
        <v>現役</v>
      </c>
      <c r="V6" s="12" t="str">
        <f>IF($T6&lt;&gt;"",SUM($W$2:W6),"")</f>
        <v/>
      </c>
    </row>
    <row r="7" spans="1:24">
      <c r="A7" s="13" t="s">
        <v>122</v>
      </c>
      <c r="B7" s="14" t="s">
        <v>123</v>
      </c>
      <c r="C7" s="14" t="s">
        <v>102</v>
      </c>
      <c r="D7" s="14" t="s">
        <v>1</v>
      </c>
      <c r="E7" s="14" t="s">
        <v>103</v>
      </c>
      <c r="F7" s="14" t="s">
        <v>112</v>
      </c>
      <c r="G7" s="14" t="s">
        <v>124</v>
      </c>
      <c r="H7" s="14" t="s">
        <v>121</v>
      </c>
      <c r="I7" s="14" t="s">
        <v>106</v>
      </c>
      <c r="J7" s="1"/>
      <c r="K7" s="12">
        <f t="shared" si="0"/>
        <v>1</v>
      </c>
      <c r="L7" s="12">
        <f t="array" ref="L7">IF(H7="MLB",1,IF(H7="日職一軍",2,IF(H7="韓職一軍",3,IF(H7="3A",4,IF(H7="2A",5,IF(H7="A+",6,IF(H7="1A",7,IF(H7="RK",8,IF(H7="日職二軍",9,99)))))))))</f>
        <v>5</v>
      </c>
      <c r="M7" s="12" t="str">
        <f t="shared" si="1"/>
        <v xml:space="preserve">林維恩 </v>
      </c>
      <c r="O7" s="12" t="str">
        <f>IF(AND($A7&lt;&gt;"",$I7&lt;&gt;"現役"),COUNTIFS($A$2:$A7,"&lt;&gt;",$I$2:$I7,"&lt;&gt;現役"),"")</f>
        <v/>
      </c>
      <c r="S7" s="12" t="str">
        <f t="shared" si="2"/>
        <v>現役</v>
      </c>
      <c r="V7" s="12" t="str">
        <f>IF($T7&lt;&gt;"",SUM($W$2:W7),"")</f>
        <v/>
      </c>
    </row>
    <row r="8" spans="1:24">
      <c r="A8" s="13" t="s">
        <v>125</v>
      </c>
      <c r="B8" s="14" t="s">
        <v>126</v>
      </c>
      <c r="C8" s="14" t="s">
        <v>102</v>
      </c>
      <c r="D8" s="14" t="s">
        <v>1</v>
      </c>
      <c r="E8" s="14" t="s">
        <v>103</v>
      </c>
      <c r="F8" s="14" t="s">
        <v>112</v>
      </c>
      <c r="G8" s="14" t="s">
        <v>124</v>
      </c>
      <c r="H8" s="14" t="s">
        <v>121</v>
      </c>
      <c r="I8" s="14" t="s">
        <v>106</v>
      </c>
      <c r="J8" s="1"/>
      <c r="K8" s="12">
        <f t="shared" si="0"/>
        <v>1</v>
      </c>
      <c r="L8" s="12">
        <f t="array" ref="L8">IF(H8="MLB",1,IF(H8="日職一軍",2,IF(H8="韓職一軍",3,IF(H8="3A",4,IF(H8="2A",5,IF(H8="A+",6,IF(H8="1A",7,IF(H8="RK",8,IF(H8="日職二軍",9,99)))))))))</f>
        <v>5</v>
      </c>
      <c r="M8" s="12" t="str">
        <f t="shared" si="1"/>
        <v xml:space="preserve">莊陳仲敖 </v>
      </c>
      <c r="O8" s="12" t="str">
        <f>IF(AND($A8&lt;&gt;"",$I8&lt;&gt;"現役"),COUNTIFS($A$2:$A8,"&lt;&gt;",$I$2:$I8,"&lt;&gt;現役"),"")</f>
        <v/>
      </c>
      <c r="S8" s="12" t="str">
        <f t="shared" si="2"/>
        <v>現役</v>
      </c>
      <c r="V8" s="12" t="str">
        <f>IF($T8&lt;&gt;"",SUM($W$2:W8),"")</f>
        <v/>
      </c>
    </row>
    <row r="9" spans="1:24">
      <c r="A9" s="13" t="s">
        <v>127</v>
      </c>
      <c r="B9" s="14" t="s">
        <v>128</v>
      </c>
      <c r="C9" s="14" t="s">
        <v>102</v>
      </c>
      <c r="D9" s="14" t="s">
        <v>1</v>
      </c>
      <c r="E9" s="14" t="s">
        <v>103</v>
      </c>
      <c r="F9" s="14" t="s">
        <v>112</v>
      </c>
      <c r="G9" s="14" t="s">
        <v>129</v>
      </c>
      <c r="H9" s="14" t="s">
        <v>121</v>
      </c>
      <c r="I9" s="14" t="s">
        <v>106</v>
      </c>
      <c r="J9" s="1"/>
      <c r="K9" s="12">
        <f t="shared" si="0"/>
        <v>1</v>
      </c>
      <c r="L9" s="12">
        <f t="array" ref="L9">IF(H9="MLB",1,IF(H9="日職一軍",2,IF(H9="韓職一軍",3,IF(H9="3A",4,IF(H9="2A",5,IF(H9="A+",6,IF(H9="1A",7,IF(H9="RK",8,IF(H9="日職二軍",9,99)))))))))</f>
        <v>5</v>
      </c>
      <c r="M9" s="12" t="str">
        <f t="shared" si="1"/>
        <v xml:space="preserve">陳柏毓 </v>
      </c>
      <c r="O9" s="12" t="str">
        <f>IF(AND($A9&lt;&gt;"",$I9&lt;&gt;"現役"),COUNTIFS($A$2:$A9,"&lt;&gt;",$I$2:$I9,"&lt;&gt;現役"),"")</f>
        <v/>
      </c>
      <c r="S9" s="12" t="str">
        <f t="shared" si="2"/>
        <v>現役</v>
      </c>
      <c r="V9" s="12" t="str">
        <f>IF($T9&lt;&gt;"",SUM($W$2:W9),"")</f>
        <v/>
      </c>
    </row>
    <row r="10" spans="1:24">
      <c r="A10" s="13" t="s">
        <v>130</v>
      </c>
      <c r="B10" s="14" t="s">
        <v>131</v>
      </c>
      <c r="C10" s="14" t="s">
        <v>102</v>
      </c>
      <c r="D10" s="14" t="s">
        <v>1</v>
      </c>
      <c r="E10" s="14" t="s">
        <v>103</v>
      </c>
      <c r="F10" s="14" t="s">
        <v>112</v>
      </c>
      <c r="G10" s="14" t="s">
        <v>117</v>
      </c>
      <c r="H10" s="14" t="s">
        <v>121</v>
      </c>
      <c r="I10" s="15" t="s">
        <v>132</v>
      </c>
      <c r="J10" s="1"/>
      <c r="K10" s="12">
        <f t="shared" si="0"/>
        <v>1</v>
      </c>
      <c r="L10" s="12">
        <f t="array" ref="L10">IF(H10="MLB",1,IF(H10="日職一軍",2,IF(H10="韓職一軍",3,IF(H10="3A",4,IF(H10="2A",5,IF(H10="A+",6,IF(H10="1A",7,IF(H10="RK",8,IF(H10="日職二軍",9,99)))))))))</f>
        <v>5</v>
      </c>
      <c r="M10" s="12" t="str">
        <f t="shared" si="1"/>
        <v xml:space="preserve">劉致榮 </v>
      </c>
      <c r="O10" s="12">
        <f>IF(AND($A10&lt;&gt;"",$I10&lt;&gt;"現役"),COUNTIFS($A$2:$A10,"&lt;&gt;",$I$2:$I10,"&lt;&gt;現役"),"")</f>
        <v>1</v>
      </c>
      <c r="Q10" s="12">
        <v>60</v>
      </c>
      <c r="R10" s="12">
        <v>39</v>
      </c>
      <c r="S10" s="12" t="str">
        <f t="shared" si="2"/>
        <v>⚕ IL(39/60)</v>
      </c>
      <c r="V10" s="12" t="str">
        <f>IF($T10&lt;&gt;"",SUM($W$2:W10),"")</f>
        <v/>
      </c>
    </row>
    <row r="11" spans="1:24">
      <c r="A11" s="13" t="s">
        <v>133</v>
      </c>
      <c r="B11" s="14" t="s">
        <v>134</v>
      </c>
      <c r="C11" s="14" t="s">
        <v>102</v>
      </c>
      <c r="D11" s="14" t="s">
        <v>1</v>
      </c>
      <c r="E11" s="14" t="s">
        <v>103</v>
      </c>
      <c r="F11" s="14" t="s">
        <v>112</v>
      </c>
      <c r="G11" s="14" t="s">
        <v>124</v>
      </c>
      <c r="H11" s="14" t="s">
        <v>135</v>
      </c>
      <c r="I11" s="14" t="s">
        <v>106</v>
      </c>
      <c r="J11" s="1"/>
      <c r="K11" s="12">
        <f t="shared" si="0"/>
        <v>1</v>
      </c>
      <c r="L11" s="12">
        <f t="array" ref="L11">IF(H11="MLB",1,IF(H11="日職一軍",2,IF(H11="韓職一軍",3,IF(H11="3A",4,IF(H11="2A",5,IF(H11="A+",6,IF(H11="1A",7,IF(H11="RK",8,IF(H11="日職二軍",9,99)))))))))</f>
        <v>6</v>
      </c>
      <c r="M11" s="12" t="str">
        <f t="shared" si="1"/>
        <v xml:space="preserve">沙子宸 </v>
      </c>
      <c r="O11" s="12" t="str">
        <f>IF(AND($A11&lt;&gt;"",$I11&lt;&gt;"現役"),COUNTIFS($A$2:$A11,"&lt;&gt;",$I$2:$I11,"&lt;&gt;現役"),"")</f>
        <v/>
      </c>
      <c r="S11" s="12" t="str">
        <f t="shared" si="2"/>
        <v>現役</v>
      </c>
      <c r="V11" s="12" t="str">
        <f>IF($T11&lt;&gt;"",SUM($W$2:W11),"")</f>
        <v/>
      </c>
    </row>
    <row r="12" spans="1:24">
      <c r="A12" s="13" t="s">
        <v>136</v>
      </c>
      <c r="B12" s="14" t="s">
        <v>137</v>
      </c>
      <c r="C12" s="14" t="s">
        <v>102</v>
      </c>
      <c r="D12" s="14" t="s">
        <v>1</v>
      </c>
      <c r="E12" s="14" t="s">
        <v>103</v>
      </c>
      <c r="F12" s="14" t="s">
        <v>112</v>
      </c>
      <c r="G12" s="14" t="s">
        <v>129</v>
      </c>
      <c r="H12" s="14" t="s">
        <v>135</v>
      </c>
      <c r="I12" s="14" t="s">
        <v>106</v>
      </c>
      <c r="J12" s="1"/>
      <c r="K12" s="12">
        <f t="shared" si="0"/>
        <v>1</v>
      </c>
      <c r="L12" s="12">
        <f t="array" ref="L12">IF(H12="MLB",1,IF(H12="日職一軍",2,IF(H12="韓職一軍",3,IF(H12="3A",4,IF(H12="2A",5,IF(H12="A+",6,IF(H12="1A",7,IF(H12="RK",8,IF(H12="日職二軍",9,99)))))))))</f>
        <v>6</v>
      </c>
      <c r="M12" s="12" t="str">
        <f t="shared" si="1"/>
        <v xml:space="preserve">張弘稜 </v>
      </c>
      <c r="O12" s="12" t="str">
        <f>IF(AND($A12&lt;&gt;"",$I12&lt;&gt;"現役"),COUNTIFS($A$2:$A12,"&lt;&gt;",$I$2:$I12,"&lt;&gt;現役"),"")</f>
        <v/>
      </c>
      <c r="S12" s="12" t="str">
        <f t="shared" si="2"/>
        <v>現役</v>
      </c>
      <c r="V12" s="12" t="str">
        <f>IF($T12&lt;&gt;"",SUM($W$2:W12),"")</f>
        <v/>
      </c>
    </row>
    <row r="13" spans="1:24">
      <c r="A13" s="13" t="s">
        <v>138</v>
      </c>
      <c r="B13" s="14" t="s">
        <v>139</v>
      </c>
      <c r="C13" s="14" t="s">
        <v>102</v>
      </c>
      <c r="D13" s="14" t="s">
        <v>1</v>
      </c>
      <c r="E13" s="14" t="s">
        <v>103</v>
      </c>
      <c r="F13" s="14" t="s">
        <v>112</v>
      </c>
      <c r="G13" s="14" t="s">
        <v>140</v>
      </c>
      <c r="H13" s="14" t="s">
        <v>141</v>
      </c>
      <c r="I13" s="15" t="s">
        <v>132</v>
      </c>
      <c r="J13" s="1"/>
      <c r="K13" s="12">
        <f t="shared" si="0"/>
        <v>1</v>
      </c>
      <c r="L13" s="12">
        <f t="array" ref="L13">IF(H13="MLB",1,IF(H13="日職一軍",2,IF(H13="韓職一軍",3,IF(H13="3A",4,IF(H13="2A",5,IF(H13="A+",6,IF(H13="1A",7,IF(H13="RK",8,IF(H13="日職二軍",9,99)))))))))</f>
        <v>7</v>
      </c>
      <c r="M13" s="12" t="str">
        <f t="shared" si="1"/>
        <v xml:space="preserve">沈家羲 </v>
      </c>
      <c r="O13" s="12">
        <f>IF(AND($A13&lt;&gt;"",$I13&lt;&gt;"現役"),COUNTIFS($A$2:$A13,"&lt;&gt;",$I$2:$I13,"&lt;&gt;現役"),"")</f>
        <v>2</v>
      </c>
      <c r="Q13" s="12">
        <v>60</v>
      </c>
      <c r="R13" s="12">
        <v>39</v>
      </c>
      <c r="S13" s="12" t="str">
        <f t="shared" si="2"/>
        <v>⚕ IL(39/60)</v>
      </c>
      <c r="V13" s="12" t="str">
        <f>IF($T13&lt;&gt;"",SUM($W$2:W13),"")</f>
        <v/>
      </c>
    </row>
    <row r="14" spans="1:24">
      <c r="A14" s="13" t="s">
        <v>142</v>
      </c>
      <c r="B14" s="14" t="s">
        <v>143</v>
      </c>
      <c r="C14" s="14" t="s">
        <v>102</v>
      </c>
      <c r="D14" s="14" t="s">
        <v>1</v>
      </c>
      <c r="E14" s="14" t="s">
        <v>103</v>
      </c>
      <c r="F14" s="14" t="s">
        <v>112</v>
      </c>
      <c r="G14" s="14" t="s">
        <v>144</v>
      </c>
      <c r="H14" s="14" t="s">
        <v>141</v>
      </c>
      <c r="I14" s="14" t="s">
        <v>106</v>
      </c>
      <c r="J14" s="1"/>
      <c r="K14" s="12">
        <f t="shared" si="0"/>
        <v>1</v>
      </c>
      <c r="L14" s="12">
        <f t="array" ref="L14">IF(H14="MLB",1,IF(H14="日職一軍",2,IF(H14="韓職一軍",3,IF(H14="3A",4,IF(H14="2A",5,IF(H14="A+",6,IF(H14="1A",7,IF(H14="RK",8,IF(H14="日職二軍",9,99)))))))))</f>
        <v>7</v>
      </c>
      <c r="M14" s="12" t="str">
        <f t="shared" si="1"/>
        <v xml:space="preserve">林盛恩 </v>
      </c>
      <c r="O14" s="12" t="str">
        <f>IF(AND($A14&lt;&gt;"",$I14&lt;&gt;"現役"),COUNTIFS($A$2:$A14,"&lt;&gt;",$I$2:$I14,"&lt;&gt;現役"),"")</f>
        <v/>
      </c>
      <c r="S14" s="12" t="str">
        <f t="shared" si="2"/>
        <v>現役</v>
      </c>
      <c r="V14" s="12" t="str">
        <f>IF($T14&lt;&gt;"",SUM($W$2:W14),"")</f>
        <v/>
      </c>
    </row>
    <row r="15" spans="1:24">
      <c r="A15" s="13" t="s">
        <v>69</v>
      </c>
      <c r="B15" s="14" t="s">
        <v>145</v>
      </c>
      <c r="C15" s="14" t="s">
        <v>102</v>
      </c>
      <c r="D15" s="14" t="s">
        <v>146</v>
      </c>
      <c r="E15" s="14" t="s">
        <v>103</v>
      </c>
      <c r="F15" s="14" t="s">
        <v>112</v>
      </c>
      <c r="G15" s="14" t="s">
        <v>147</v>
      </c>
      <c r="H15" s="14" t="s">
        <v>141</v>
      </c>
      <c r="I15" s="14" t="s">
        <v>106</v>
      </c>
      <c r="J15" s="1"/>
      <c r="K15" s="12">
        <f t="shared" si="0"/>
        <v>1</v>
      </c>
      <c r="L15" s="12">
        <f t="array" ref="L15">IF(H15="MLB",1,IF(H15="日職一軍",2,IF(H15="韓職一軍",3,IF(H15="3A",4,IF(H15="2A",5,IF(H15="A+",6,IF(H15="1A",7,IF(H15="RK",8,IF(H15="日職二軍",9,99)))))))))</f>
        <v>7</v>
      </c>
      <c r="M15" s="12" t="str">
        <f t="shared" si="1"/>
        <v>柯敬賢</v>
      </c>
      <c r="O15" s="12" t="str">
        <f>IF(AND($A15&lt;&gt;"",$I15&lt;&gt;"現役"),COUNTIFS($A$2:$A15,"&lt;&gt;",$I$2:$I15,"&lt;&gt;現役"),"")</f>
        <v/>
      </c>
      <c r="S15" s="12" t="str">
        <f t="shared" si="2"/>
        <v>現役</v>
      </c>
      <c r="V15" s="12" t="str">
        <f>IF($T15&lt;&gt;"",SUM($W$2:W15),"")</f>
        <v/>
      </c>
    </row>
    <row r="16" spans="1:24">
      <c r="A16" s="13" t="s">
        <v>148</v>
      </c>
      <c r="B16" s="14" t="s">
        <v>149</v>
      </c>
      <c r="C16" s="14" t="s">
        <v>102</v>
      </c>
      <c r="D16" s="14" t="s">
        <v>1</v>
      </c>
      <c r="E16" s="14" t="s">
        <v>103</v>
      </c>
      <c r="F16" s="14" t="s">
        <v>112</v>
      </c>
      <c r="G16" s="14" t="s">
        <v>113</v>
      </c>
      <c r="H16" s="14" t="s">
        <v>141</v>
      </c>
      <c r="I16" s="14" t="s">
        <v>106</v>
      </c>
      <c r="J16" s="1"/>
      <c r="K16" s="12">
        <f t="shared" si="0"/>
        <v>1</v>
      </c>
      <c r="L16" s="12">
        <f t="array" ref="L16">IF(H16="MLB",1,IF(H16="日職一軍",2,IF(H16="韓職一軍",3,IF(H16="3A",4,IF(H16="2A",5,IF(H16="A+",6,IF(H16="1A",7,IF(H16="RK",8,IF(H16="日職二軍",9,99)))))))))</f>
        <v>7</v>
      </c>
      <c r="M16" s="12" t="str">
        <f t="shared" si="1"/>
        <v xml:space="preserve">黃仲翔 </v>
      </c>
      <c r="O16" s="12" t="str">
        <f>IF(AND($A16&lt;&gt;"",$I16&lt;&gt;"現役"),COUNTIFS($A$2:$A16,"&lt;&gt;",$I$2:$I16,"&lt;&gt;現役"),"")</f>
        <v/>
      </c>
      <c r="S16" s="12" t="str">
        <f t="shared" si="2"/>
        <v>現役</v>
      </c>
      <c r="V16" s="12" t="str">
        <f>IF($T16&lt;&gt;"",SUM($W$2:W16),"")</f>
        <v/>
      </c>
    </row>
    <row r="17" spans="1:22">
      <c r="A17" s="13" t="s">
        <v>150</v>
      </c>
      <c r="B17" s="14" t="s">
        <v>151</v>
      </c>
      <c r="C17" s="14" t="s">
        <v>102</v>
      </c>
      <c r="D17" s="14" t="s">
        <v>1</v>
      </c>
      <c r="E17" s="14" t="s">
        <v>103</v>
      </c>
      <c r="F17" s="14" t="s">
        <v>112</v>
      </c>
      <c r="G17" s="14" t="s">
        <v>152</v>
      </c>
      <c r="H17" s="14" t="s">
        <v>141</v>
      </c>
      <c r="I17" s="14" t="s">
        <v>106</v>
      </c>
      <c r="J17" s="1"/>
      <c r="K17" s="12">
        <f t="shared" si="0"/>
        <v>1</v>
      </c>
      <c r="L17" s="12">
        <f t="array" ref="L17">IF(H17="MLB",1,IF(H17="日職一軍",2,IF(H17="韓職一軍",3,IF(H17="3A",4,IF(H17="2A",5,IF(H17="A+",6,IF(H17="1A",7,IF(H17="RK",8,IF(H17="日職二軍",9,99)))))))))</f>
        <v>7</v>
      </c>
      <c r="M17" s="12" t="str">
        <f t="shared" si="1"/>
        <v xml:space="preserve">潘文輝 </v>
      </c>
      <c r="O17" s="12" t="str">
        <f>IF(AND($A17&lt;&gt;"",$I17&lt;&gt;"現役"),COUNTIFS($A$2:$A17,"&lt;&gt;",$I$2:$I17,"&lt;&gt;現役"),"")</f>
        <v/>
      </c>
      <c r="S17" s="12" t="str">
        <f t="shared" si="2"/>
        <v>現役</v>
      </c>
      <c r="V17" s="12" t="str">
        <f>IF($T17&lt;&gt;"",SUM($W$2:W17),"")</f>
        <v/>
      </c>
    </row>
    <row r="18" spans="1:22">
      <c r="A18" s="13" t="s">
        <v>153</v>
      </c>
      <c r="B18" s="14" t="s">
        <v>154</v>
      </c>
      <c r="C18" s="14" t="s">
        <v>102</v>
      </c>
      <c r="D18" s="14" t="s">
        <v>1</v>
      </c>
      <c r="E18" s="14" t="s">
        <v>103</v>
      </c>
      <c r="F18" s="14" t="s">
        <v>112</v>
      </c>
      <c r="G18" s="14" t="s">
        <v>155</v>
      </c>
      <c r="H18" s="14" t="s">
        <v>156</v>
      </c>
      <c r="I18" s="14" t="s">
        <v>106</v>
      </c>
      <c r="J18" s="1"/>
      <c r="K18" s="12">
        <f t="shared" si="0"/>
        <v>1</v>
      </c>
      <c r="L18" s="12">
        <f t="array" ref="L18">IF(H18="MLB",1,IF(H18="日職一軍",2,IF(H18="韓職一軍",3,IF(H18="3A",4,IF(H18="2A",5,IF(H18="A+",6,IF(H18="1A",7,IF(H18="RK",8,IF(H18="日職二軍",9,99)))))))))</f>
        <v>8</v>
      </c>
      <c r="M18" s="12" t="str">
        <f t="shared" si="1"/>
        <v xml:space="preserve">李晨薰 </v>
      </c>
      <c r="O18" s="12" t="str">
        <f>IF(AND($A18&lt;&gt;"",$I18&lt;&gt;"現役"),COUNTIFS($A$2:$A18,"&lt;&gt;",$I$2:$I18,"&lt;&gt;現役"),"")</f>
        <v/>
      </c>
      <c r="S18" s="12" t="str">
        <f t="shared" si="2"/>
        <v>現役</v>
      </c>
      <c r="V18" s="12" t="str">
        <f>IF($T18&lt;&gt;"",SUM($W$2:W18),"")</f>
        <v/>
      </c>
    </row>
    <row r="19" spans="1:22">
      <c r="A19" s="13" t="s">
        <v>157</v>
      </c>
      <c r="B19" s="14" t="s">
        <v>158</v>
      </c>
      <c r="C19" s="14" t="s">
        <v>102</v>
      </c>
      <c r="D19" s="14" t="s">
        <v>1</v>
      </c>
      <c r="E19" s="14" t="s">
        <v>103</v>
      </c>
      <c r="F19" s="14" t="s">
        <v>112</v>
      </c>
      <c r="G19" s="14" t="s">
        <v>159</v>
      </c>
      <c r="H19" s="14" t="s">
        <v>156</v>
      </c>
      <c r="I19" s="14" t="s">
        <v>106</v>
      </c>
      <c r="J19" s="1"/>
      <c r="K19" s="12">
        <f t="shared" si="0"/>
        <v>1</v>
      </c>
      <c r="L19" s="12">
        <f t="array" ref="L19">IF(H19="MLB",1,IF(H19="日職一軍",2,IF(H19="韓職一軍",3,IF(H19="3A",4,IF(H19="2A",5,IF(H19="A+",6,IF(H19="1A",7,IF(H19="RK",8,IF(H19="日職二軍",9,99)))))))))</f>
        <v>8</v>
      </c>
      <c r="M19" s="12" t="str">
        <f t="shared" si="1"/>
        <v xml:space="preserve">林張子俊 </v>
      </c>
      <c r="O19" s="12" t="str">
        <f>IF(AND($A19&lt;&gt;"",$I19&lt;&gt;"現役"),COUNTIFS($A$2:$A19,"&lt;&gt;",$I$2:$I19,"&lt;&gt;現役"),"")</f>
        <v/>
      </c>
      <c r="S19" s="12" t="str">
        <f t="shared" si="2"/>
        <v>現役</v>
      </c>
      <c r="V19" s="12" t="str">
        <f>IF($T19&lt;&gt;"",SUM($W$2:W19),"")</f>
        <v/>
      </c>
    </row>
    <row r="20" spans="1:22">
      <c r="A20" s="13" t="s">
        <v>160</v>
      </c>
      <c r="B20" s="14" t="s">
        <v>161</v>
      </c>
      <c r="C20" s="14" t="s">
        <v>102</v>
      </c>
      <c r="D20" s="14" t="s">
        <v>1</v>
      </c>
      <c r="E20" s="14" t="s">
        <v>103</v>
      </c>
      <c r="F20" s="14" t="s">
        <v>112</v>
      </c>
      <c r="G20" s="14" t="s">
        <v>140</v>
      </c>
      <c r="H20" s="14" t="s">
        <v>156</v>
      </c>
      <c r="I20" s="14" t="s">
        <v>106</v>
      </c>
      <c r="J20" s="1"/>
      <c r="K20" s="12">
        <f t="shared" si="0"/>
        <v>1</v>
      </c>
      <c r="L20" s="12">
        <f t="array" ref="L20">IF(H20="MLB",1,IF(H20="日職一軍",2,IF(H20="韓職一軍",3,IF(H20="3A",4,IF(H20="2A",5,IF(H20="A+",6,IF(H20="1A",7,IF(H20="RK",8,IF(H20="日職二軍",9,99)))))))))</f>
        <v>8</v>
      </c>
      <c r="M20" s="12" t="str">
        <f t="shared" si="1"/>
        <v xml:space="preserve">林鉑濬 </v>
      </c>
      <c r="O20" s="12" t="str">
        <f>IF(AND($A20&lt;&gt;"",$I20&lt;&gt;"現役"),COUNTIFS($A$2:$A20,"&lt;&gt;",$I$2:$I20,"&lt;&gt;現役"),"")</f>
        <v/>
      </c>
      <c r="S20" s="12" t="str">
        <f t="shared" si="2"/>
        <v>現役</v>
      </c>
      <c r="V20" s="12" t="str">
        <f>IF($T20&lt;&gt;"",SUM($W$2:W20),"")</f>
        <v/>
      </c>
    </row>
    <row r="21" spans="1:22">
      <c r="A21" s="13" t="s">
        <v>162</v>
      </c>
      <c r="B21" s="14" t="s">
        <v>163</v>
      </c>
      <c r="C21" s="14" t="s">
        <v>102</v>
      </c>
      <c r="D21" s="14" t="s">
        <v>1</v>
      </c>
      <c r="E21" s="14" t="s">
        <v>103</v>
      </c>
      <c r="F21" s="14" t="s">
        <v>112</v>
      </c>
      <c r="G21" s="14" t="s">
        <v>155</v>
      </c>
      <c r="H21" s="14" t="s">
        <v>156</v>
      </c>
      <c r="I21" s="14" t="s">
        <v>106</v>
      </c>
      <c r="J21" s="1"/>
      <c r="K21" s="12">
        <f t="shared" si="0"/>
        <v>1</v>
      </c>
      <c r="L21" s="12">
        <f t="array" ref="L21">IF(H21="MLB",1,IF(H21="日職一軍",2,IF(H21="韓職一軍",3,IF(H21="3A",4,IF(H21="2A",5,IF(H21="A+",6,IF(H21="1A",7,IF(H21="RK",8,IF(H21="日職二軍",9,99)))))))))</f>
        <v>8</v>
      </c>
      <c r="M21" s="12" t="str">
        <f t="shared" si="1"/>
        <v xml:space="preserve">陽念希 </v>
      </c>
      <c r="O21" s="12" t="str">
        <f>IF(AND($A21&lt;&gt;"",$I21&lt;&gt;"現役"),COUNTIFS($A$2:$A21,"&lt;&gt;",$I$2:$I21,"&lt;&gt;現役"),"")</f>
        <v/>
      </c>
      <c r="S21" s="12" t="str">
        <f t="shared" si="2"/>
        <v>現役</v>
      </c>
      <c r="V21" s="12" t="str">
        <f>IF($T21&lt;&gt;"",SUM($W$2:W21),"")</f>
        <v/>
      </c>
    </row>
    <row r="22" spans="1:22">
      <c r="A22" s="13" t="s">
        <v>164</v>
      </c>
      <c r="B22" s="14" t="s">
        <v>165</v>
      </c>
      <c r="C22" s="14" t="s">
        <v>102</v>
      </c>
      <c r="D22" s="14" t="s">
        <v>166</v>
      </c>
      <c r="E22" s="14" t="s">
        <v>103</v>
      </c>
      <c r="F22" s="14" t="s">
        <v>112</v>
      </c>
      <c r="G22" s="14" t="s">
        <v>159</v>
      </c>
      <c r="H22" s="14" t="s">
        <v>156</v>
      </c>
      <c r="I22" s="14" t="s">
        <v>106</v>
      </c>
      <c r="J22" s="1"/>
      <c r="K22" s="12">
        <f t="shared" si="0"/>
        <v>1</v>
      </c>
      <c r="L22" s="12">
        <f t="array" ref="L22">IF(H22="MLB",1,IF(H22="日職一軍",2,IF(H22="韓職一軍",3,IF(H22="3A",4,IF(H22="2A",5,IF(H22="A+",6,IF(H22="1A",7,IF(H22="RK",8,IF(H22="日職二軍",9,99)))))))))</f>
        <v>8</v>
      </c>
      <c r="M22" s="12" t="str">
        <f t="shared" si="1"/>
        <v xml:space="preserve">廖宥霖 </v>
      </c>
      <c r="O22" s="12" t="str">
        <f>IF(AND($A22&lt;&gt;"",$I22&lt;&gt;"現役"),COUNTIFS($A$2:$A22,"&lt;&gt;",$I$2:$I22,"&lt;&gt;現役"),"")</f>
        <v/>
      </c>
      <c r="S22" s="12" t="str">
        <f t="shared" si="2"/>
        <v>現役</v>
      </c>
      <c r="V22" s="12" t="str">
        <f>IF($T22&lt;&gt;"",SUM($W$2:W22),"")</f>
        <v/>
      </c>
    </row>
    <row r="23" spans="1:22">
      <c r="A23" s="13" t="s">
        <v>167</v>
      </c>
      <c r="B23" s="14" t="s">
        <v>168</v>
      </c>
      <c r="C23" s="14" t="s">
        <v>102</v>
      </c>
      <c r="D23" s="14" t="s">
        <v>1</v>
      </c>
      <c r="E23" s="14" t="s">
        <v>103</v>
      </c>
      <c r="F23" s="14" t="s">
        <v>112</v>
      </c>
      <c r="G23" s="14" t="s">
        <v>169</v>
      </c>
      <c r="H23" s="14" t="s">
        <v>156</v>
      </c>
      <c r="I23" s="14" t="s">
        <v>106</v>
      </c>
      <c r="J23" s="1"/>
      <c r="K23" s="12">
        <f t="shared" si="0"/>
        <v>1</v>
      </c>
      <c r="L23" s="12">
        <f t="array" ref="L23">IF(H23="MLB",1,IF(H23="日職一軍",2,IF(H23="韓職一軍",3,IF(H23="3A",4,IF(H23="2A",5,IF(H23="A+",6,IF(H23="1A",7,IF(H23="RK",8,IF(H23="日職二軍",9,99)))))))))</f>
        <v>8</v>
      </c>
      <c r="M23" s="12" t="str">
        <f t="shared" si="1"/>
        <v xml:space="preserve">蘇嵐鴻 </v>
      </c>
      <c r="O23" s="12" t="str">
        <f>IF(AND($A23&lt;&gt;"",$I23&lt;&gt;"現役"),COUNTIFS($A$2:$A23,"&lt;&gt;",$I$2:$I23,"&lt;&gt;現役"),"")</f>
        <v/>
      </c>
      <c r="S23" s="12" t="str">
        <f t="shared" si="2"/>
        <v>現役</v>
      </c>
      <c r="V23" s="12" t="str">
        <f>IF($T23&lt;&gt;"",SUM($W$2:W23),"")</f>
        <v/>
      </c>
    </row>
    <row r="24" spans="1:22">
      <c r="A24" s="16" t="s">
        <v>170</v>
      </c>
      <c r="B24" s="17" t="s">
        <v>171</v>
      </c>
      <c r="C24" s="17" t="s">
        <v>172</v>
      </c>
      <c r="D24" s="17" t="s">
        <v>1</v>
      </c>
      <c r="E24" s="17" t="s">
        <v>173</v>
      </c>
      <c r="F24" s="17" t="s">
        <v>174</v>
      </c>
      <c r="G24" s="17" t="s">
        <v>175</v>
      </c>
      <c r="H24" s="17" t="s">
        <v>176</v>
      </c>
      <c r="I24" s="17" t="s">
        <v>106</v>
      </c>
      <c r="J24" s="1"/>
      <c r="K24" s="12">
        <f t="shared" si="0"/>
        <v>2</v>
      </c>
      <c r="L24" s="12">
        <f t="array" ref="L24">IF(H24="MLB",1,IF(H24="日職一軍",2,IF(H24="韓職一軍",3,IF(H24="3A",4,IF(H24="2A",5,IF(H24="A+",6,IF(H24="1A",7,IF(H24="RK",8,IF(H24="日職二軍",9,99)))))))))</f>
        <v>2</v>
      </c>
      <c r="M24" s="12" t="str">
        <f t="shared" si="1"/>
        <v xml:space="preserve">宋家豪 </v>
      </c>
      <c r="O24" s="12" t="str">
        <f>IF(AND($A24&lt;&gt;"",$I24&lt;&gt;"現役"),COUNTIFS($A$2:$A24,"&lt;&gt;",$I$2:$I24,"&lt;&gt;現役"),"")</f>
        <v/>
      </c>
      <c r="S24" s="12" t="str">
        <f t="shared" si="2"/>
        <v>現役</v>
      </c>
      <c r="V24" s="12" t="str">
        <f>IF($T24&lt;&gt;"",SUM($W$2:W24),"")</f>
        <v/>
      </c>
    </row>
    <row r="25" spans="1:22">
      <c r="A25" s="16" t="s">
        <v>177</v>
      </c>
      <c r="B25" s="17" t="s">
        <v>178</v>
      </c>
      <c r="C25" s="17" t="s">
        <v>172</v>
      </c>
      <c r="D25" s="17" t="s">
        <v>146</v>
      </c>
      <c r="E25" s="17" t="s">
        <v>173</v>
      </c>
      <c r="F25" s="17" t="s">
        <v>174</v>
      </c>
      <c r="G25" s="17" t="s">
        <v>179</v>
      </c>
      <c r="H25" s="17" t="s">
        <v>176</v>
      </c>
      <c r="I25" s="17" t="s">
        <v>106</v>
      </c>
      <c r="J25" s="1"/>
      <c r="K25" s="12">
        <f t="shared" si="0"/>
        <v>2</v>
      </c>
      <c r="L25" s="12">
        <f t="array" ref="L25">IF(H25="MLB",1,IF(H25="日職一軍",2,IF(H25="韓職一軍",3,IF(H25="3A",4,IF(H25="2A",5,IF(H25="A+",6,IF(H25="1A",7,IF(H25="RK",8,IF(H25="日職二軍",9,99)))))))))</f>
        <v>2</v>
      </c>
      <c r="M25" s="12" t="str">
        <f t="shared" si="1"/>
        <v xml:space="preserve">林安可 </v>
      </c>
      <c r="O25" s="12" t="str">
        <f>IF(AND($A25&lt;&gt;"",$I25&lt;&gt;"現役"),COUNTIFS($A$2:$A25,"&lt;&gt;",$I$2:$I25,"&lt;&gt;現役"),"")</f>
        <v/>
      </c>
      <c r="S25" s="12" t="str">
        <f t="shared" si="2"/>
        <v>現役</v>
      </c>
      <c r="V25" s="12" t="str">
        <f>IF($T25&lt;&gt;"",SUM($W$2:W25),"")</f>
        <v/>
      </c>
    </row>
    <row r="26" spans="1:22">
      <c r="A26" s="16" t="s">
        <v>180</v>
      </c>
      <c r="B26" s="17" t="s">
        <v>181</v>
      </c>
      <c r="C26" s="17" t="s">
        <v>172</v>
      </c>
      <c r="D26" s="17" t="s">
        <v>1</v>
      </c>
      <c r="E26" s="17" t="s">
        <v>173</v>
      </c>
      <c r="F26" s="17" t="s">
        <v>174</v>
      </c>
      <c r="G26" s="17" t="s">
        <v>182</v>
      </c>
      <c r="H26" s="17" t="s">
        <v>183</v>
      </c>
      <c r="I26" s="17" t="s">
        <v>106</v>
      </c>
      <c r="J26" s="1"/>
      <c r="K26" s="12">
        <f t="shared" si="0"/>
        <v>2</v>
      </c>
      <c r="L26" s="12">
        <f t="array" ref="L26">IF(H26="MLB",1,IF(H26="日職一軍",2,IF(H26="韓職一軍",3,IF(H26="3A",4,IF(H26="2A",5,IF(H26="A+",6,IF(H26="1A",7,IF(H26="RK",8,IF(H26="日職二軍",9,99)))))))))</f>
        <v>9</v>
      </c>
      <c r="M26" s="12" t="str">
        <f t="shared" si="1"/>
        <v xml:space="preserve">古林睿煬 </v>
      </c>
      <c r="O26" s="12" t="str">
        <f>IF(AND($A26&lt;&gt;"",$I26&lt;&gt;"現役"),COUNTIFS($A$2:$A26,"&lt;&gt;",$I$2:$I26,"&lt;&gt;現役"),"")</f>
        <v/>
      </c>
      <c r="S26" s="12" t="str">
        <f t="shared" si="2"/>
        <v>現役</v>
      </c>
      <c r="V26" s="12" t="str">
        <f>IF($T26&lt;&gt;"",SUM($W$2:W26),"")</f>
        <v/>
      </c>
    </row>
    <row r="27" spans="1:22">
      <c r="A27" s="16" t="s">
        <v>184</v>
      </c>
      <c r="B27" s="17" t="s">
        <v>185</v>
      </c>
      <c r="C27" s="17" t="s">
        <v>172</v>
      </c>
      <c r="D27" s="17" t="s">
        <v>5</v>
      </c>
      <c r="E27" s="17" t="s">
        <v>173</v>
      </c>
      <c r="F27" s="17" t="s">
        <v>174</v>
      </c>
      <c r="G27" s="17" t="s">
        <v>179</v>
      </c>
      <c r="H27" s="17" t="s">
        <v>183</v>
      </c>
      <c r="I27" s="17" t="s">
        <v>106</v>
      </c>
      <c r="J27" s="1"/>
      <c r="K27" s="12">
        <f t="shared" si="0"/>
        <v>2</v>
      </c>
      <c r="L27" s="12">
        <f t="array" ref="L27">IF(H27="MLB",1,IF(H27="日職一軍",2,IF(H27="韓職一軍",3,IF(H27="3A",4,IF(H27="2A",5,IF(H27="A+",6,IF(H27="1A",7,IF(H27="RK",8,IF(H27="日職二軍",9,99)))))))))</f>
        <v>9</v>
      </c>
      <c r="M27" s="12" t="str">
        <f t="shared" si="1"/>
        <v xml:space="preserve">林冠臣 </v>
      </c>
      <c r="O27" s="12" t="str">
        <f>IF(AND($A27&lt;&gt;"",$I27&lt;&gt;"現役"),COUNTIFS($A$2:$A27,"&lt;&gt;",$I$2:$I27,"&lt;&gt;現役"),"")</f>
        <v/>
      </c>
      <c r="S27" s="12" t="str">
        <f t="shared" si="2"/>
        <v>現役</v>
      </c>
      <c r="V27" s="12" t="str">
        <f>IF($T27&lt;&gt;"",SUM($W$2:W27),"")</f>
        <v/>
      </c>
    </row>
    <row r="28" spans="1:22">
      <c r="A28" s="16" t="s">
        <v>186</v>
      </c>
      <c r="B28" s="17" t="s">
        <v>187</v>
      </c>
      <c r="C28" s="17" t="s">
        <v>172</v>
      </c>
      <c r="D28" s="17" t="s">
        <v>188</v>
      </c>
      <c r="E28" s="17" t="s">
        <v>173</v>
      </c>
      <c r="F28" s="17" t="s">
        <v>174</v>
      </c>
      <c r="G28" s="17" t="s">
        <v>182</v>
      </c>
      <c r="H28" s="17" t="s">
        <v>183</v>
      </c>
      <c r="I28" s="17" t="s">
        <v>106</v>
      </c>
      <c r="J28" s="1"/>
      <c r="K28" s="12">
        <f t="shared" si="0"/>
        <v>2</v>
      </c>
      <c r="L28" s="12">
        <f t="array" ref="L28">IF(H28="MLB",1,IF(H28="日職一軍",2,IF(H28="韓職一軍",3,IF(H28="3A",4,IF(H28="2A",5,IF(H28="A+",6,IF(H28="1A",7,IF(H28="RK",8,IF(H28="日職二軍",9,99)))))))))</f>
        <v>9</v>
      </c>
      <c r="M28" s="12" t="str">
        <f t="shared" si="1"/>
        <v xml:space="preserve">林家正 </v>
      </c>
      <c r="O28" s="12" t="str">
        <f>IF(AND($A28&lt;&gt;"",$I28&lt;&gt;"現役"),COUNTIFS($A$2:$A28,"&lt;&gt;",$I$2:$I28,"&lt;&gt;現役"),"")</f>
        <v/>
      </c>
      <c r="S28" s="12" t="str">
        <f t="shared" si="2"/>
        <v>現役</v>
      </c>
      <c r="V28" s="12" t="str">
        <f>IF($T28&lt;&gt;"",SUM($W$2:W28),"")</f>
        <v/>
      </c>
    </row>
    <row r="29" spans="1:22">
      <c r="A29" s="16" t="s">
        <v>189</v>
      </c>
      <c r="B29" s="17" t="s">
        <v>190</v>
      </c>
      <c r="C29" s="17" t="s">
        <v>172</v>
      </c>
      <c r="D29" s="17" t="s">
        <v>1</v>
      </c>
      <c r="E29" s="17" t="s">
        <v>173</v>
      </c>
      <c r="F29" s="17" t="s">
        <v>174</v>
      </c>
      <c r="G29" s="17" t="s">
        <v>182</v>
      </c>
      <c r="H29" s="17" t="s">
        <v>183</v>
      </c>
      <c r="I29" s="17" t="s">
        <v>106</v>
      </c>
      <c r="J29" s="1"/>
      <c r="K29" s="12">
        <f t="shared" si="0"/>
        <v>2</v>
      </c>
      <c r="L29" s="12">
        <f t="array" ref="L29">IF(H29="MLB",1,IF(H29="日職一軍",2,IF(H29="韓職一軍",3,IF(H29="3A",4,IF(H29="2A",5,IF(H29="A+",6,IF(H29="1A",7,IF(H29="RK",8,IF(H29="日職二軍",9,99)))))))))</f>
        <v>9</v>
      </c>
      <c r="M29" s="12" t="str">
        <f t="shared" si="1"/>
        <v xml:space="preserve">孫易磊 </v>
      </c>
      <c r="O29" s="12" t="str">
        <f>IF(AND($A29&lt;&gt;"",$I29&lt;&gt;"現役"),COUNTIFS($A$2:$A29,"&lt;&gt;",$I$2:$I29,"&lt;&gt;現役"),"")</f>
        <v/>
      </c>
      <c r="S29" s="12" t="str">
        <f t="shared" si="2"/>
        <v>現役</v>
      </c>
      <c r="V29" s="12" t="str">
        <f>IF($T29&lt;&gt;"",SUM($W$2:W29),"")</f>
        <v/>
      </c>
    </row>
    <row r="30" spans="1:22">
      <c r="A30" s="16" t="s">
        <v>191</v>
      </c>
      <c r="B30" s="17" t="s">
        <v>192</v>
      </c>
      <c r="C30" s="17" t="s">
        <v>172</v>
      </c>
      <c r="D30" s="17" t="s">
        <v>1</v>
      </c>
      <c r="E30" s="17" t="s">
        <v>173</v>
      </c>
      <c r="F30" s="17" t="s">
        <v>174</v>
      </c>
      <c r="G30" s="17" t="s">
        <v>193</v>
      </c>
      <c r="H30" s="17" t="s">
        <v>183</v>
      </c>
      <c r="I30" s="17" t="s">
        <v>106</v>
      </c>
      <c r="J30" s="1"/>
      <c r="K30" s="12">
        <f t="shared" si="0"/>
        <v>2</v>
      </c>
      <c r="L30" s="12">
        <f t="array" ref="L30">IF(H30="MLB",1,IF(H30="日職一軍",2,IF(H30="韓職一軍",3,IF(H30="3A",4,IF(H30="2A",5,IF(H30="A+",6,IF(H30="1A",7,IF(H30="RK",8,IF(H30="日職二軍",9,99)))))))))</f>
        <v>9</v>
      </c>
      <c r="M30" s="12" t="str">
        <f t="shared" si="1"/>
        <v xml:space="preserve">徐若熙 </v>
      </c>
      <c r="O30" s="12" t="str">
        <f>IF(AND($A30&lt;&gt;"",$I30&lt;&gt;"現役"),COUNTIFS($A$2:$A30,"&lt;&gt;",$I$2:$I30,"&lt;&gt;現役"),"")</f>
        <v/>
      </c>
      <c r="S30" s="12" t="str">
        <f t="shared" si="2"/>
        <v>現役</v>
      </c>
      <c r="V30" s="12" t="str">
        <f>IF($T30&lt;&gt;"",SUM($W$2:W30),"")</f>
        <v/>
      </c>
    </row>
    <row r="31" spans="1:22">
      <c r="A31" s="16" t="s">
        <v>194</v>
      </c>
      <c r="B31" s="17" t="s">
        <v>195</v>
      </c>
      <c r="C31" s="17" t="s">
        <v>172</v>
      </c>
      <c r="D31" s="17" t="s">
        <v>1</v>
      </c>
      <c r="E31" s="17" t="s">
        <v>173</v>
      </c>
      <c r="F31" s="17" t="s">
        <v>174</v>
      </c>
      <c r="G31" s="17" t="s">
        <v>196</v>
      </c>
      <c r="H31" s="17" t="s">
        <v>183</v>
      </c>
      <c r="I31" s="17" t="s">
        <v>106</v>
      </c>
      <c r="J31" s="1"/>
      <c r="K31" s="12">
        <f t="shared" si="0"/>
        <v>2</v>
      </c>
      <c r="L31" s="12">
        <f t="array" ref="L31">IF(H31="MLB",1,IF(H31="日職一軍",2,IF(H31="韓職一軍",3,IF(H31="3A",4,IF(H31="2A",5,IF(H31="A+",6,IF(H31="1A",7,IF(H31="RK",8,IF(H31="日職二軍",9,99)))))))))</f>
        <v>9</v>
      </c>
      <c r="M31" s="12" t="str">
        <f t="shared" si="1"/>
        <v xml:space="preserve">徐翔聖 </v>
      </c>
      <c r="O31" s="12" t="str">
        <f>IF(AND($A31&lt;&gt;"",$I31&lt;&gt;"現役"),COUNTIFS($A$2:$A31,"&lt;&gt;",$I$2:$I31,"&lt;&gt;現役"),"")</f>
        <v/>
      </c>
      <c r="S31" s="12" t="str">
        <f t="shared" si="2"/>
        <v>現役</v>
      </c>
      <c r="V31" s="12" t="str">
        <f>IF($T31&lt;&gt;"",SUM($W$2:W31),"")</f>
        <v/>
      </c>
    </row>
    <row r="32" spans="1:22">
      <c r="A32" s="16" t="s">
        <v>197</v>
      </c>
      <c r="B32" s="17" t="s">
        <v>198</v>
      </c>
      <c r="C32" s="17" t="s">
        <v>172</v>
      </c>
      <c r="D32" s="17" t="s">
        <v>1</v>
      </c>
      <c r="E32" s="17" t="s">
        <v>173</v>
      </c>
      <c r="F32" s="17" t="s">
        <v>174</v>
      </c>
      <c r="G32" s="17" t="s">
        <v>193</v>
      </c>
      <c r="H32" s="17" t="s">
        <v>183</v>
      </c>
      <c r="I32" s="17" t="s">
        <v>106</v>
      </c>
      <c r="J32" s="1"/>
      <c r="K32" s="12">
        <f t="shared" si="0"/>
        <v>2</v>
      </c>
      <c r="L32" s="12">
        <f t="array" ref="L32">IF(H32="MLB",1,IF(H32="日職一軍",2,IF(H32="韓職一軍",3,IF(H32="3A",4,IF(H32="2A",5,IF(H32="A+",6,IF(H32="1A",7,IF(H32="RK",8,IF(H32="日職二軍",9,99)))))))))</f>
        <v>9</v>
      </c>
      <c r="M32" s="12" t="str">
        <f t="shared" si="1"/>
        <v xml:space="preserve">張峻瑋 </v>
      </c>
      <c r="O32" s="12" t="str">
        <f>IF(AND($A32&lt;&gt;"",$I32&lt;&gt;"現役"),COUNTIFS($A$2:$A32,"&lt;&gt;",$I$2:$I32,"&lt;&gt;現役"),"")</f>
        <v/>
      </c>
      <c r="S32" s="12" t="str">
        <f t="shared" si="2"/>
        <v>現役</v>
      </c>
      <c r="V32" s="12" t="str">
        <f>IF($T32&lt;&gt;"",SUM($W$2:W32),"")</f>
        <v/>
      </c>
    </row>
    <row r="33" spans="1:24">
      <c r="A33" s="16" t="s">
        <v>199</v>
      </c>
      <c r="B33" s="17" t="s">
        <v>200</v>
      </c>
      <c r="C33" s="17" t="s">
        <v>172</v>
      </c>
      <c r="D33" s="17" t="s">
        <v>1</v>
      </c>
      <c r="E33" s="17" t="s">
        <v>173</v>
      </c>
      <c r="F33" s="17" t="s">
        <v>174</v>
      </c>
      <c r="G33" s="17" t="s">
        <v>201</v>
      </c>
      <c r="H33" s="17" t="s">
        <v>183</v>
      </c>
      <c r="I33" s="17" t="s">
        <v>106</v>
      </c>
      <c r="J33" s="1"/>
      <c r="K33" s="12">
        <f t="shared" si="0"/>
        <v>2</v>
      </c>
      <c r="L33" s="12">
        <f t="array" ref="L33">IF(H33="MLB",1,IF(H33="日職一軍",2,IF(H33="韓職一軍",3,IF(H33="3A",4,IF(H33="2A",5,IF(H33="A+",6,IF(H33="1A",7,IF(H33="RK",8,IF(H33="日職二軍",9,99)))))))))</f>
        <v>9</v>
      </c>
      <c r="M33" s="12" t="str">
        <f t="shared" si="1"/>
        <v xml:space="preserve">陳睦衡 </v>
      </c>
      <c r="O33" s="12" t="str">
        <f>IF(AND($A33&lt;&gt;"",$I33&lt;&gt;"現役"),COUNTIFS($A$2:$A33,"&lt;&gt;",$I$2:$I33,"&lt;&gt;現役"),"")</f>
        <v/>
      </c>
      <c r="S33" s="12" t="str">
        <f t="shared" si="2"/>
        <v>現役</v>
      </c>
      <c r="V33" s="12" t="str">
        <f>IF($T33&lt;&gt;"",SUM($W$2:W33),"")</f>
        <v/>
      </c>
    </row>
    <row r="34" spans="1:24">
      <c r="A34" s="16" t="s">
        <v>202</v>
      </c>
      <c r="B34" s="17" t="s">
        <v>203</v>
      </c>
      <c r="C34" s="17" t="s">
        <v>172</v>
      </c>
      <c r="D34" s="17" t="s">
        <v>166</v>
      </c>
      <c r="E34" s="17" t="s">
        <v>173</v>
      </c>
      <c r="F34" s="17" t="s">
        <v>174</v>
      </c>
      <c r="G34" s="17" t="s">
        <v>175</v>
      </c>
      <c r="H34" s="17" t="s">
        <v>183</v>
      </c>
      <c r="I34" s="17" t="s">
        <v>106</v>
      </c>
      <c r="J34" s="1"/>
      <c r="K34" s="12">
        <f t="shared" si="0"/>
        <v>2</v>
      </c>
      <c r="L34" s="12">
        <f t="array" ref="L34">IF(H34="MLB",1,IF(H34="日職一軍",2,IF(H34="韓職一軍",3,IF(H34="3A",4,IF(H34="2A",5,IF(H34="A+",6,IF(H34="1A",7,IF(H34="RK",8,IF(H34="日職二軍",9,99)))))))))</f>
        <v>9</v>
      </c>
      <c r="M34" s="12" t="str">
        <f t="shared" si="1"/>
        <v xml:space="preserve">陽柏翔 </v>
      </c>
      <c r="O34" s="12" t="str">
        <f>IF(AND($A34&lt;&gt;"",$I34&lt;&gt;"現役"),COUNTIFS($A$2:$A34,"&lt;&gt;",$I$2:$I34,"&lt;&gt;現役"),"")</f>
        <v/>
      </c>
      <c r="S34" s="12" t="str">
        <f t="shared" si="2"/>
        <v>現役</v>
      </c>
      <c r="V34" s="12" t="str">
        <f>IF($T34&lt;&gt;"",SUM($W$2:W34),"")</f>
        <v/>
      </c>
    </row>
    <row r="35" spans="1:24">
      <c r="A35" s="16" t="s">
        <v>204</v>
      </c>
      <c r="B35" s="17" t="s">
        <v>205</v>
      </c>
      <c r="C35" s="17" t="s">
        <v>172</v>
      </c>
      <c r="D35" s="17" t="s">
        <v>1</v>
      </c>
      <c r="E35" s="17" t="s">
        <v>173</v>
      </c>
      <c r="F35" s="17" t="s">
        <v>174</v>
      </c>
      <c r="G35" s="17" t="s">
        <v>206</v>
      </c>
      <c r="H35" s="17" t="s">
        <v>183</v>
      </c>
      <c r="I35" s="17" t="s">
        <v>106</v>
      </c>
      <c r="J35" s="1"/>
      <c r="K35" s="12">
        <f t="shared" si="0"/>
        <v>2</v>
      </c>
      <c r="L35" s="12">
        <f t="array" ref="L35">IF(H35="MLB",1,IF(H35="日職一軍",2,IF(H35="韓職一軍",3,IF(H35="3A",4,IF(H35="2A",5,IF(H35="A+",6,IF(H35="1A",7,IF(H35="RK",8,IF(H35="日職二軍",9,99)))))))))</f>
        <v>9</v>
      </c>
      <c r="M35" s="12" t="str">
        <f t="shared" si="1"/>
        <v xml:space="preserve">黃錦豪 </v>
      </c>
      <c r="O35" s="12" t="str">
        <f>IF(AND($A35&lt;&gt;"",$I35&lt;&gt;"現役"),COUNTIFS($A$2:$A35,"&lt;&gt;",$I$2:$I35,"&lt;&gt;現役"),"")</f>
        <v/>
      </c>
      <c r="S35" s="12" t="str">
        <f t="shared" si="2"/>
        <v>現役</v>
      </c>
      <c r="V35" s="12" t="str">
        <f>IF($T35&lt;&gt;"",SUM($W$2:W35),"")</f>
        <v/>
      </c>
    </row>
    <row r="36" spans="1:24">
      <c r="A36" s="16" t="s">
        <v>207</v>
      </c>
      <c r="B36" s="17" t="s">
        <v>208</v>
      </c>
      <c r="C36" s="17" t="s">
        <v>172</v>
      </c>
      <c r="D36" s="17" t="s">
        <v>1</v>
      </c>
      <c r="E36" s="17" t="s">
        <v>173</v>
      </c>
      <c r="F36" s="17" t="s">
        <v>174</v>
      </c>
      <c r="G36" s="17" t="s">
        <v>175</v>
      </c>
      <c r="H36" s="17" t="s">
        <v>183</v>
      </c>
      <c r="I36" s="17" t="s">
        <v>106</v>
      </c>
      <c r="J36" s="1"/>
      <c r="K36" s="12">
        <f t="shared" si="0"/>
        <v>2</v>
      </c>
      <c r="L36" s="12">
        <f t="array" ref="L36">IF(H36="MLB",1,IF(H36="日職一軍",2,IF(H36="韓職一軍",3,IF(H36="3A",4,IF(H36="2A",5,IF(H36="A+",6,IF(H36="1A",7,IF(H36="RK",8,IF(H36="日職二軍",9,99)))))))))</f>
        <v>9</v>
      </c>
      <c r="M36" s="12" t="str">
        <f t="shared" si="1"/>
        <v xml:space="preserve">蕭齊 </v>
      </c>
      <c r="O36" s="12" t="str">
        <f>IF(AND($A36&lt;&gt;"",$I36&lt;&gt;"現役"),COUNTIFS($A$2:$A36,"&lt;&gt;",$I$2:$I36,"&lt;&gt;現役"),"")</f>
        <v/>
      </c>
      <c r="S36" s="12" t="str">
        <f t="shared" si="2"/>
        <v>現役</v>
      </c>
      <c r="V36" s="12" t="str">
        <f>IF($T36&lt;&gt;"",SUM($W$2:W36),"")</f>
        <v/>
      </c>
    </row>
    <row r="37" spans="1:24">
      <c r="A37" s="18" t="s">
        <v>209</v>
      </c>
      <c r="B37" s="19" t="s">
        <v>210</v>
      </c>
      <c r="C37" s="19" t="s">
        <v>211</v>
      </c>
      <c r="D37" s="19" t="s">
        <v>1</v>
      </c>
      <c r="E37" s="19" t="s">
        <v>212</v>
      </c>
      <c r="F37" s="19" t="s">
        <v>213</v>
      </c>
      <c r="G37" s="19" t="s">
        <v>214</v>
      </c>
      <c r="H37" s="19" t="s">
        <v>215</v>
      </c>
      <c r="I37" s="19" t="s">
        <v>106</v>
      </c>
      <c r="J37" s="1"/>
      <c r="K37" s="12">
        <f t="shared" si="0"/>
        <v>3</v>
      </c>
      <c r="L37" s="12">
        <f t="array" ref="L37">IF(H37="MLB",1,IF(H37="日職一軍",2,IF(H37="韓職一軍",3,IF(H37="3A",4,IF(H37="2A",5,IF(H37="A+",6,IF(H37="1A",7,IF(H37="RK",8,IF(H37="日職二軍",9,99)))))))))</f>
        <v>3</v>
      </c>
      <c r="M37" s="12" t="str">
        <f t="shared" si="1"/>
        <v xml:space="preserve">王彥程 </v>
      </c>
      <c r="O37" s="12" t="str">
        <f>IF(AND($A37&lt;&gt;"",$I37&lt;&gt;"現役"),COUNTIFS($A$2:$A37,"&lt;&gt;",$I$2:$I37,"&lt;&gt;現役"),"")</f>
        <v/>
      </c>
      <c r="S37" s="12" t="str">
        <f t="shared" si="2"/>
        <v>現役</v>
      </c>
      <c r="V37" s="12" t="str">
        <f>IF($T37&lt;&gt;"",SUM($W$2:W37),"")</f>
        <v/>
      </c>
    </row>
    <row r="38" spans="1:24">
      <c r="A38" s="20" t="s">
        <v>216</v>
      </c>
      <c r="B38" s="21" t="s">
        <v>217</v>
      </c>
      <c r="C38" s="21" t="s">
        <v>218</v>
      </c>
      <c r="D38" s="21" t="s">
        <v>146</v>
      </c>
      <c r="E38" s="21" t="s">
        <v>103</v>
      </c>
      <c r="F38" s="21" t="s">
        <v>104</v>
      </c>
      <c r="G38" s="21" t="s">
        <v>219</v>
      </c>
      <c r="H38" s="21" t="s">
        <v>104</v>
      </c>
      <c r="I38" s="21" t="s">
        <v>106</v>
      </c>
      <c r="J38" s="1"/>
      <c r="K38" s="12">
        <f t="shared" si="0"/>
        <v>5</v>
      </c>
      <c r="L38" s="12">
        <f t="array" ref="L38">IF(H38="MLB",1,IF(H38="日職一軍",2,IF(H38="韓職一軍",3,IF(H38="3A",4,IF(H38="2A",5,IF(H38="A+",6,IF(H38="1A",7,IF(H38="RK",8,IF(H38="日職二軍",9,99)))))))))</f>
        <v>1</v>
      </c>
      <c r="M38" s="12" t="str">
        <f t="shared" si="1"/>
        <v xml:space="preserve">Corbin Carroll </v>
      </c>
      <c r="O38" s="12" t="str">
        <f>IF(AND($A38&lt;&gt;"",$I38&lt;&gt;"現役"),COUNTIFS($A$2:$A38,"&lt;&gt;",$I$2:$I38,"&lt;&gt;現役"),"")</f>
        <v/>
      </c>
      <c r="S38" s="12" t="str">
        <f t="shared" si="2"/>
        <v>現役</v>
      </c>
      <c r="V38" s="12" t="str">
        <f>IF($T38&lt;&gt;"",SUM($W$2:W38),"")</f>
        <v/>
      </c>
    </row>
    <row r="39" spans="1:24">
      <c r="A39" s="22" t="s">
        <v>220</v>
      </c>
      <c r="B39" s="23" t="s">
        <v>221</v>
      </c>
      <c r="C39" s="23" t="s">
        <v>218</v>
      </c>
      <c r="D39" s="23" t="s">
        <v>166</v>
      </c>
      <c r="E39" s="23" t="s">
        <v>103</v>
      </c>
      <c r="F39" s="23" t="s">
        <v>112</v>
      </c>
      <c r="G39" s="23" t="s">
        <v>222</v>
      </c>
      <c r="H39" s="23" t="s">
        <v>114</v>
      </c>
      <c r="I39" s="23" t="s">
        <v>106</v>
      </c>
      <c r="J39" s="1"/>
      <c r="K39" s="12">
        <f t="shared" si="0"/>
        <v>5</v>
      </c>
      <c r="L39" s="12">
        <f t="array" ref="L39">IF(H39="MLB",1,IF(H39="日職一軍",2,IF(H39="韓職一軍",3,IF(H39="3A",4,IF(H39="2A",5,IF(H39="A+",6,IF(H39="1A",7,IF(H39="RK",8,IF(H39="日職二軍",9,99)))))))))</f>
        <v>4</v>
      </c>
      <c r="M39" s="12" t="str">
        <f t="shared" si="1"/>
        <v xml:space="preserve">Jonathon Long </v>
      </c>
      <c r="O39" s="12" t="str">
        <f>IF(AND($A39&lt;&gt;"",$I39&lt;&gt;"現役"),COUNTIFS($A$2:$A39,"&lt;&gt;",$I$2:$I39,"&lt;&gt;現役"),"")</f>
        <v/>
      </c>
      <c r="S39" s="12" t="str">
        <f t="shared" si="2"/>
        <v>現役</v>
      </c>
      <c r="V39" s="12" t="str">
        <f>IF($T39&lt;&gt;"",SUM($W$2:W39),"")</f>
        <v/>
      </c>
    </row>
    <row r="40" spans="1:24">
      <c r="A40" s="20" t="s">
        <v>223</v>
      </c>
      <c r="B40" s="21" t="s">
        <v>224</v>
      </c>
      <c r="C40" s="21" t="s">
        <v>218</v>
      </c>
      <c r="D40" s="21" t="s">
        <v>146</v>
      </c>
      <c r="E40" s="21" t="s">
        <v>103</v>
      </c>
      <c r="F40" s="21" t="s">
        <v>112</v>
      </c>
      <c r="G40" s="21" t="s">
        <v>225</v>
      </c>
      <c r="H40" s="21" t="s">
        <v>114</v>
      </c>
      <c r="I40" s="21" t="s">
        <v>106</v>
      </c>
      <c r="J40" s="1"/>
      <c r="K40" s="12">
        <f t="shared" si="0"/>
        <v>5</v>
      </c>
      <c r="L40" s="12">
        <f t="array" ref="L40">IF(H40="MLB",1,IF(H40="日職一軍",2,IF(H40="韓職一軍",3,IF(H40="3A",4,IF(H40="2A",5,IF(H40="A+",6,IF(H40="1A",7,IF(H40="RK",8,IF(H40="日職二軍",9,99)))))))))</f>
        <v>4</v>
      </c>
      <c r="M40" s="12" t="str">
        <f t="shared" si="1"/>
        <v xml:space="preserve">Stuart Fairchild </v>
      </c>
      <c r="O40" s="12" t="str">
        <f>IF(AND($A40&lt;&gt;"",$I40&lt;&gt;"現役"),COUNTIFS($A$2:$A40,"&lt;&gt;",$I$2:$I40,"&lt;&gt;現役"),"")</f>
        <v/>
      </c>
      <c r="S40" s="12" t="str">
        <f t="shared" si="2"/>
        <v>現役</v>
      </c>
      <c r="V40" s="12" t="str">
        <f>IF($T40&lt;&gt;"",SUM($W$2:W40),"")</f>
        <v/>
      </c>
    </row>
    <row r="41" spans="1:24">
      <c r="A41" s="22" t="s">
        <v>226</v>
      </c>
      <c r="B41" s="23" t="s">
        <v>227</v>
      </c>
      <c r="C41" s="23" t="s">
        <v>218</v>
      </c>
      <c r="D41" s="23" t="s">
        <v>166</v>
      </c>
      <c r="E41" s="23" t="s">
        <v>103</v>
      </c>
      <c r="F41" s="23" t="s">
        <v>112</v>
      </c>
      <c r="G41" s="23" t="s">
        <v>228</v>
      </c>
      <c r="H41" s="23" t="s">
        <v>135</v>
      </c>
      <c r="I41" s="23" t="s">
        <v>106</v>
      </c>
      <c r="J41" s="1"/>
      <c r="K41" s="12">
        <f t="shared" si="0"/>
        <v>5</v>
      </c>
      <c r="L41" s="12">
        <f t="array" ref="L41">IF(H41="MLB",1,IF(H41="日職一軍",2,IF(H41="韓職一軍",3,IF(H41="3A",4,IF(H41="2A",5,IF(H41="A+",6,IF(H41="1A",7,IF(H41="RK",8,IF(H41="日職二軍",9,99)))))))))</f>
        <v>6</v>
      </c>
      <c r="M41" s="12" t="str">
        <f t="shared" si="1"/>
        <v xml:space="preserve">Tyler Wilson </v>
      </c>
      <c r="O41" s="12" t="str">
        <f>IF(AND($A41&lt;&gt;"",$I41&lt;&gt;"現役"),COUNTIFS($A$2:$A41,"&lt;&gt;",$I$2:$I41,"&lt;&gt;現役"),"")</f>
        <v/>
      </c>
      <c r="S41" s="12" t="str">
        <f t="shared" si="2"/>
        <v>現役</v>
      </c>
      <c r="V41" s="12" t="str">
        <f>IF($T41&lt;&gt;"",SUM($W$2:W41),"")</f>
        <v/>
      </c>
    </row>
    <row r="42" spans="1:24">
      <c r="J42"/>
      <c r="N42"/>
      <c r="P42"/>
      <c r="T42"/>
      <c r="W42"/>
      <c r="X42"/>
    </row>
    <row r="43" spans="1:24">
      <c r="J43"/>
      <c r="N43"/>
      <c r="P43"/>
      <c r="T43"/>
      <c r="W43"/>
      <c r="X43"/>
    </row>
    <row r="44" spans="1:24">
      <c r="J44"/>
      <c r="N44"/>
      <c r="P44"/>
      <c r="T44"/>
      <c r="W44"/>
      <c r="X44"/>
    </row>
    <row r="45" spans="1:24">
      <c r="J45"/>
      <c r="N45"/>
      <c r="P45"/>
      <c r="T45"/>
      <c r="W45"/>
      <c r="X45"/>
    </row>
    <row r="46" spans="1:24">
      <c r="J46"/>
      <c r="N46"/>
      <c r="P46"/>
      <c r="T46"/>
      <c r="W46"/>
      <c r="X46"/>
    </row>
    <row r="47" spans="1:24">
      <c r="J47"/>
      <c r="N47"/>
      <c r="P47"/>
      <c r="T47"/>
      <c r="W47"/>
      <c r="X47"/>
    </row>
    <row r="48" spans="1:24">
      <c r="J48"/>
      <c r="N48"/>
      <c r="P48"/>
      <c r="T48"/>
      <c r="W48"/>
      <c r="X48"/>
    </row>
    <row r="49" spans="10:24">
      <c r="J49"/>
      <c r="N49"/>
      <c r="P49"/>
      <c r="T49"/>
      <c r="W49"/>
      <c r="X49"/>
    </row>
    <row r="50" spans="10:24">
      <c r="J50"/>
      <c r="N50"/>
      <c r="P50"/>
      <c r="T50"/>
      <c r="W50"/>
      <c r="X50"/>
    </row>
    <row r="51" spans="10:24">
      <c r="J51"/>
      <c r="N51"/>
      <c r="P51"/>
      <c r="T51"/>
      <c r="W51"/>
      <c r="X51"/>
    </row>
    <row r="52" spans="10:24">
      <c r="J52"/>
      <c r="N52"/>
      <c r="P52"/>
      <c r="T52"/>
      <c r="W52"/>
      <c r="X52"/>
    </row>
    <row r="53" spans="10:24">
      <c r="J53"/>
      <c r="N53"/>
      <c r="P53"/>
      <c r="T53"/>
      <c r="W53"/>
      <c r="X53"/>
    </row>
    <row r="54" spans="10:24">
      <c r="J54"/>
      <c r="N54"/>
      <c r="P54"/>
      <c r="T54"/>
      <c r="W54"/>
      <c r="X54"/>
    </row>
    <row r="55" spans="10:24">
      <c r="J55"/>
      <c r="N55"/>
      <c r="P55"/>
      <c r="T55"/>
      <c r="W55"/>
      <c r="X55"/>
    </row>
    <row r="56" spans="10:24">
      <c r="J56"/>
      <c r="N56"/>
      <c r="P56"/>
      <c r="T56"/>
      <c r="W56"/>
      <c r="X56"/>
    </row>
    <row r="57" spans="10:24">
      <c r="J57"/>
      <c r="N57"/>
      <c r="P57"/>
      <c r="T57"/>
      <c r="W57"/>
      <c r="X57"/>
    </row>
    <row r="58" spans="10:24">
      <c r="J58"/>
      <c r="N58"/>
      <c r="P58"/>
      <c r="T58"/>
      <c r="W58"/>
      <c r="X58"/>
    </row>
    <row r="59" spans="10:24">
      <c r="J59"/>
      <c r="N59"/>
      <c r="P59"/>
      <c r="T59"/>
      <c r="W59"/>
      <c r="X59"/>
    </row>
    <row r="60" spans="10:24">
      <c r="J60"/>
      <c r="N60"/>
      <c r="P60"/>
      <c r="T60"/>
      <c r="W60"/>
      <c r="X60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5"/>
  <sheetViews>
    <sheetView workbookViewId="0"/>
  </sheetViews>
  <sheetFormatPr defaultRowHeight="16.5"/>
  <cols>
    <col min="1" max="1" width="13.875" style="8" customWidth="1"/>
    <col min="2" max="2" width="9" style="8"/>
    <col min="3" max="3" width="14.75" style="8" customWidth="1"/>
    <col min="4" max="4" width="9" style="8"/>
    <col min="5" max="8" width="11.875" style="8" customWidth="1"/>
    <col min="9" max="36" width="9" style="8"/>
  </cols>
  <sheetData>
    <row r="1" spans="1:36">
      <c r="A1" s="1" t="s">
        <v>7</v>
      </c>
      <c r="B1" s="1" t="s">
        <v>84</v>
      </c>
      <c r="C1" s="1" t="s">
        <v>16</v>
      </c>
      <c r="D1" s="1" t="s">
        <v>14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238</v>
      </c>
      <c r="O1" s="1" t="s">
        <v>239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244</v>
      </c>
      <c r="U1" s="1" t="s">
        <v>245</v>
      </c>
      <c r="V1" s="1" t="s">
        <v>246</v>
      </c>
      <c r="W1" s="1" t="s">
        <v>247</v>
      </c>
      <c r="X1" s="1" t="s">
        <v>248</v>
      </c>
      <c r="Y1" s="1" t="s">
        <v>249</v>
      </c>
      <c r="Z1" s="1" t="s">
        <v>250</v>
      </c>
      <c r="AA1" s="1" t="s">
        <v>251</v>
      </c>
      <c r="AB1" s="1" t="s">
        <v>252</v>
      </c>
      <c r="AC1" s="1" t="s">
        <v>253</v>
      </c>
      <c r="AD1" s="1" t="s">
        <v>254</v>
      </c>
      <c r="AE1" s="1" t="s">
        <v>255</v>
      </c>
      <c r="AF1" s="1" t="s">
        <v>256</v>
      </c>
      <c r="AG1" s="1" t="s">
        <v>257</v>
      </c>
      <c r="AH1" s="1" t="s">
        <v>258</v>
      </c>
      <c r="AI1" s="1" t="s">
        <v>259</v>
      </c>
      <c r="AJ1" s="1" t="s">
        <v>260</v>
      </c>
    </row>
    <row r="2" spans="1:36">
      <c r="A2" s="2" t="s">
        <v>65</v>
      </c>
      <c r="B2" s="2" t="s">
        <v>104</v>
      </c>
      <c r="C2" s="2" t="s">
        <v>105</v>
      </c>
      <c r="D2" s="2" t="s">
        <v>104</v>
      </c>
      <c r="E2" s="3"/>
      <c r="F2" s="4"/>
      <c r="G2" s="4"/>
      <c r="H2" s="4"/>
      <c r="I2" s="5"/>
      <c r="J2" s="5"/>
      <c r="K2" s="5"/>
      <c r="L2" s="5"/>
      <c r="M2" s="5"/>
      <c r="N2" s="6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>
      <c r="A3" s="2" t="s">
        <v>65</v>
      </c>
      <c r="B3" s="2" t="s">
        <v>104</v>
      </c>
      <c r="C3" s="2" t="s">
        <v>105</v>
      </c>
      <c r="D3" s="2" t="s">
        <v>114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>
      <c r="A4" s="2" t="s">
        <v>67</v>
      </c>
      <c r="B4" s="2" t="s">
        <v>112</v>
      </c>
      <c r="C4" s="2" t="s">
        <v>117</v>
      </c>
      <c r="D4" s="2" t="s">
        <v>114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>
      <c r="A5" s="2" t="s">
        <v>69</v>
      </c>
      <c r="B5" s="2" t="s">
        <v>112</v>
      </c>
      <c r="C5" s="2" t="s">
        <v>147</v>
      </c>
      <c r="D5" s="2" t="s">
        <v>141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>
      <c r="A6" s="2" t="s">
        <v>71</v>
      </c>
      <c r="B6" s="2" t="s">
        <v>112</v>
      </c>
      <c r="C6" s="2" t="s">
        <v>159</v>
      </c>
      <c r="D6" s="2" t="s">
        <v>156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>
      <c r="A7" s="7"/>
      <c r="B7" s="7"/>
      <c r="C7" s="7"/>
      <c r="D7" s="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>
      <c r="A8" s="7"/>
      <c r="B8" s="7"/>
      <c r="C8" s="7"/>
      <c r="D8" s="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>
      <c r="A9" s="7"/>
      <c r="B9" s="7"/>
      <c r="C9" s="7"/>
      <c r="D9" s="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>
      <c r="A10" s="7"/>
      <c r="B10" s="7"/>
      <c r="C10" s="7"/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>
      <c r="A11" s="1" t="s">
        <v>76</v>
      </c>
      <c r="B11" s="1" t="s">
        <v>104</v>
      </c>
      <c r="C11" s="1" t="s">
        <v>219</v>
      </c>
      <c r="D11" s="1" t="s">
        <v>104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>
      <c r="A12" s="1" t="s">
        <v>78</v>
      </c>
      <c r="B12" s="1" t="s">
        <v>112</v>
      </c>
      <c r="C12" s="1" t="s">
        <v>222</v>
      </c>
      <c r="D12" s="1" t="s">
        <v>114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>
      <c r="A13" s="1" t="s">
        <v>80</v>
      </c>
      <c r="B13" s="1" t="s">
        <v>112</v>
      </c>
      <c r="C13" s="1" t="s">
        <v>225</v>
      </c>
      <c r="D13" s="1" t="s">
        <v>114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>
      <c r="A14" s="1" t="s">
        <v>81</v>
      </c>
      <c r="B14" s="1" t="s">
        <v>112</v>
      </c>
      <c r="C14" s="1" t="s">
        <v>228</v>
      </c>
      <c r="D14" s="1" t="s">
        <v>141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9"/>
  <sheetViews>
    <sheetView workbookViewId="0"/>
  </sheetViews>
  <sheetFormatPr defaultRowHeight="16.5"/>
  <cols>
    <col min="1" max="2" width="9" style="8"/>
    <col min="3" max="3" width="14.75" style="8" customWidth="1"/>
    <col min="4" max="34" width="9" style="8"/>
  </cols>
  <sheetData>
    <row r="1" spans="1:34">
      <c r="A1" s="1" t="s">
        <v>7</v>
      </c>
      <c r="B1" s="1" t="s">
        <v>84</v>
      </c>
      <c r="C1" s="1" t="s">
        <v>16</v>
      </c>
      <c r="D1" s="9" t="s">
        <v>14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247</v>
      </c>
      <c r="N1" s="1" t="s">
        <v>248</v>
      </c>
      <c r="O1" s="1" t="s">
        <v>249</v>
      </c>
      <c r="P1" s="1" t="s">
        <v>251</v>
      </c>
      <c r="Q1" s="1" t="s">
        <v>254</v>
      </c>
      <c r="R1" s="1" t="s">
        <v>269</v>
      </c>
      <c r="S1" s="1" t="s">
        <v>270</v>
      </c>
      <c r="T1" s="1" t="s">
        <v>271</v>
      </c>
      <c r="U1" s="1" t="s">
        <v>231</v>
      </c>
      <c r="V1" s="1" t="s">
        <v>232</v>
      </c>
      <c r="W1" s="1" t="s">
        <v>233</v>
      </c>
      <c r="X1" s="1" t="s">
        <v>229</v>
      </c>
      <c r="Y1" s="1" t="s">
        <v>272</v>
      </c>
      <c r="Z1" s="1" t="s">
        <v>273</v>
      </c>
      <c r="AA1" s="1" t="s">
        <v>274</v>
      </c>
      <c r="AB1" s="1" t="s">
        <v>235</v>
      </c>
      <c r="AC1" s="1" t="s">
        <v>275</v>
      </c>
      <c r="AD1" s="1" t="s">
        <v>276</v>
      </c>
      <c r="AE1" s="1" t="s">
        <v>239</v>
      </c>
      <c r="AF1" s="1" t="s">
        <v>241</v>
      </c>
      <c r="AG1" s="1" t="s">
        <v>242</v>
      </c>
      <c r="AH1" s="1" t="s">
        <v>243</v>
      </c>
    </row>
    <row r="2" spans="1:34">
      <c r="A2" s="2" t="s">
        <v>26</v>
      </c>
      <c r="B2" s="2" t="s">
        <v>104</v>
      </c>
      <c r="C2" s="2" t="s">
        <v>109</v>
      </c>
      <c r="D2" s="2" t="s">
        <v>104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</row>
    <row r="3" spans="1:34">
      <c r="A3" s="2" t="s">
        <v>28</v>
      </c>
      <c r="B3" s="2" t="s">
        <v>112</v>
      </c>
      <c r="C3" s="2" t="s">
        <v>113</v>
      </c>
      <c r="D3" s="2" t="s">
        <v>114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>
      <c r="A4" s="2" t="s">
        <v>36</v>
      </c>
      <c r="B4" s="2" t="s">
        <v>112</v>
      </c>
      <c r="C4" s="2" t="s">
        <v>129</v>
      </c>
      <c r="D4" s="2" t="s">
        <v>121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</row>
    <row r="5" spans="1:34">
      <c r="A5" s="2" t="s">
        <v>34</v>
      </c>
      <c r="B5" s="2" t="s">
        <v>112</v>
      </c>
      <c r="C5" s="2" t="s">
        <v>124</v>
      </c>
      <c r="D5" s="2" t="s">
        <v>121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>
      <c r="A6" s="2" t="s">
        <v>31</v>
      </c>
      <c r="B6" s="2" t="s">
        <v>112</v>
      </c>
      <c r="C6" s="2" t="s">
        <v>120</v>
      </c>
      <c r="D6" s="2" t="s">
        <v>121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</row>
    <row r="7" spans="1:34">
      <c r="A7" s="2" t="s">
        <v>38</v>
      </c>
      <c r="B7" s="2" t="s">
        <v>112</v>
      </c>
      <c r="C7" s="2" t="s">
        <v>117</v>
      </c>
      <c r="D7" s="2" t="s">
        <v>121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>
      <c r="A8" s="2" t="s">
        <v>47</v>
      </c>
      <c r="B8" s="2" t="s">
        <v>112</v>
      </c>
      <c r="C8" s="2" t="s">
        <v>152</v>
      </c>
      <c r="D8" s="2" t="s">
        <v>121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spans="1:34">
      <c r="A9" s="2" t="s">
        <v>33</v>
      </c>
      <c r="B9" s="2" t="s">
        <v>112</v>
      </c>
      <c r="C9" s="2" t="s">
        <v>124</v>
      </c>
      <c r="D9" s="2" t="s">
        <v>121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>
      <c r="A10" s="2" t="s">
        <v>40</v>
      </c>
      <c r="B10" s="2" t="s">
        <v>112</v>
      </c>
      <c r="C10" s="2" t="s">
        <v>124</v>
      </c>
      <c r="D10" s="2" t="s">
        <v>135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spans="1:34">
      <c r="A11" s="2" t="s">
        <v>42</v>
      </c>
      <c r="B11" s="2" t="s">
        <v>112</v>
      </c>
      <c r="C11" s="2" t="s">
        <v>129</v>
      </c>
      <c r="D11" s="2" t="s">
        <v>135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>
      <c r="A12" s="2" t="s">
        <v>46</v>
      </c>
      <c r="B12" s="2" t="s">
        <v>112</v>
      </c>
      <c r="C12" s="2" t="s">
        <v>113</v>
      </c>
      <c r="D12" s="2" t="s">
        <v>141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34">
      <c r="A13" s="2" t="s">
        <v>45</v>
      </c>
      <c r="B13" s="2" t="s">
        <v>112</v>
      </c>
      <c r="C13" s="2" t="s">
        <v>277</v>
      </c>
      <c r="D13" s="2" t="s">
        <v>141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34">
      <c r="A14" s="2" t="s">
        <v>44</v>
      </c>
      <c r="B14" s="2" t="s">
        <v>112</v>
      </c>
      <c r="C14" s="2" t="s">
        <v>140</v>
      </c>
      <c r="D14" s="2" t="s">
        <v>141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</row>
    <row r="15" spans="1:34">
      <c r="A15" s="2" t="s">
        <v>49</v>
      </c>
      <c r="B15" s="2" t="s">
        <v>112</v>
      </c>
      <c r="C15" s="2" t="s">
        <v>155</v>
      </c>
      <c r="D15" s="2" t="s">
        <v>156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spans="1:34">
      <c r="A16" s="2" t="s">
        <v>52</v>
      </c>
      <c r="B16" s="2" t="s">
        <v>112</v>
      </c>
      <c r="C16" s="2" t="s">
        <v>140</v>
      </c>
      <c r="D16" s="2" t="s">
        <v>156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spans="1:34">
      <c r="A17" s="2" t="s">
        <v>51</v>
      </c>
      <c r="B17" s="2" t="s">
        <v>112</v>
      </c>
      <c r="C17" s="2" t="s">
        <v>159</v>
      </c>
      <c r="D17" s="2" t="s">
        <v>156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4">
      <c r="A18" s="2" t="s">
        <v>54</v>
      </c>
      <c r="B18" s="2" t="s">
        <v>112</v>
      </c>
      <c r="C18" s="2" t="s">
        <v>169</v>
      </c>
      <c r="D18" s="2" t="s">
        <v>156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spans="1:34">
      <c r="A19" s="2" t="s">
        <v>53</v>
      </c>
      <c r="B19" s="2" t="s">
        <v>112</v>
      </c>
      <c r="C19" s="2" t="s">
        <v>155</v>
      </c>
      <c r="D19" s="2" t="s">
        <v>156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14"/>
  <sheetViews>
    <sheetView workbookViewId="0"/>
  </sheetViews>
  <sheetFormatPr defaultRowHeight="16.5"/>
  <cols>
    <col min="1" max="1" width="13.875" style="8" customWidth="1"/>
    <col min="2" max="2" width="9" style="8"/>
    <col min="3" max="3" width="18.75" style="8" customWidth="1"/>
    <col min="4" max="36" width="9" style="8"/>
  </cols>
  <sheetData>
    <row r="1" spans="1:36">
      <c r="A1" s="1" t="s">
        <v>7</v>
      </c>
      <c r="B1" s="1" t="s">
        <v>84</v>
      </c>
      <c r="C1" s="1" t="s">
        <v>16</v>
      </c>
      <c r="D1" s="9" t="s">
        <v>14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247</v>
      </c>
      <c r="N1" s="1" t="s">
        <v>248</v>
      </c>
      <c r="O1" s="1" t="s">
        <v>249</v>
      </c>
      <c r="P1" s="1" t="s">
        <v>251</v>
      </c>
      <c r="Q1" s="1" t="s">
        <v>254</v>
      </c>
      <c r="R1" s="1" t="s">
        <v>269</v>
      </c>
      <c r="S1" s="1" t="s">
        <v>270</v>
      </c>
      <c r="T1" s="1" t="s">
        <v>271</v>
      </c>
      <c r="U1" s="1" t="s">
        <v>231</v>
      </c>
      <c r="V1" s="1" t="s">
        <v>232</v>
      </c>
      <c r="W1" s="1" t="s">
        <v>233</v>
      </c>
      <c r="X1" s="1" t="s">
        <v>229</v>
      </c>
      <c r="Y1" s="1" t="s">
        <v>272</v>
      </c>
      <c r="Z1" s="1" t="s">
        <v>273</v>
      </c>
      <c r="AA1" s="1" t="s">
        <v>274</v>
      </c>
      <c r="AB1" s="1" t="s">
        <v>235</v>
      </c>
      <c r="AC1" s="1" t="s">
        <v>275</v>
      </c>
      <c r="AD1" s="1" t="s">
        <v>276</v>
      </c>
      <c r="AE1" s="1" t="s">
        <v>239</v>
      </c>
      <c r="AF1" s="1" t="s">
        <v>241</v>
      </c>
      <c r="AG1" s="1" t="s">
        <v>242</v>
      </c>
      <c r="AH1" s="1" t="s">
        <v>243</v>
      </c>
    </row>
    <row r="2" spans="1:36">
      <c r="A2" s="10" t="s">
        <v>55</v>
      </c>
      <c r="B2" s="10" t="s">
        <v>174</v>
      </c>
      <c r="C2" s="10" t="s">
        <v>175</v>
      </c>
      <c r="D2" s="10" t="s">
        <v>278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>
      <c r="A3" s="10" t="s">
        <v>61</v>
      </c>
      <c r="B3" s="10" t="s">
        <v>174</v>
      </c>
      <c r="C3" s="10" t="s">
        <v>201</v>
      </c>
      <c r="D3" s="10" t="s">
        <v>183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>
      <c r="A4" s="10" t="s">
        <v>56</v>
      </c>
      <c r="B4" s="10" t="s">
        <v>174</v>
      </c>
      <c r="C4" s="10" t="s">
        <v>182</v>
      </c>
      <c r="D4" s="10" t="s">
        <v>183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>
      <c r="A5" s="10" t="s">
        <v>62</v>
      </c>
      <c r="B5" s="10" t="s">
        <v>174</v>
      </c>
      <c r="C5" s="10" t="s">
        <v>206</v>
      </c>
      <c r="D5" s="10" t="s">
        <v>183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>
      <c r="A6" s="10" t="s">
        <v>57</v>
      </c>
      <c r="B6" s="10" t="s">
        <v>174</v>
      </c>
      <c r="C6" s="10" t="s">
        <v>182</v>
      </c>
      <c r="D6" s="10" t="s">
        <v>183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>
      <c r="A7" s="10" t="s">
        <v>63</v>
      </c>
      <c r="B7" s="10" t="s">
        <v>174</v>
      </c>
      <c r="C7" s="10" t="s">
        <v>175</v>
      </c>
      <c r="D7" s="10" t="s">
        <v>183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>
      <c r="A8" s="10" t="s">
        <v>58</v>
      </c>
      <c r="B8" s="10" t="s">
        <v>174</v>
      </c>
      <c r="C8" s="10" t="s">
        <v>193</v>
      </c>
      <c r="D8" s="10" t="s">
        <v>183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>
      <c r="A9" s="10" t="s">
        <v>60</v>
      </c>
      <c r="B9" s="10" t="s">
        <v>174</v>
      </c>
      <c r="C9" s="10" t="s">
        <v>193</v>
      </c>
      <c r="D9" s="10" t="s">
        <v>183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>
      <c r="A10" s="11" t="s">
        <v>64</v>
      </c>
      <c r="B10" s="11" t="s">
        <v>279</v>
      </c>
      <c r="C10" s="11" t="s">
        <v>214</v>
      </c>
      <c r="D10" s="11" t="s">
        <v>215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>
      <c r="A11" s="1" t="s">
        <v>7</v>
      </c>
      <c r="B11" s="1" t="s">
        <v>84</v>
      </c>
      <c r="C11" s="1" t="s">
        <v>16</v>
      </c>
      <c r="D11" s="1" t="s">
        <v>14</v>
      </c>
      <c r="E11" s="1" t="s">
        <v>229</v>
      </c>
      <c r="F11" s="1" t="s">
        <v>230</v>
      </c>
      <c r="G11" s="1" t="s">
        <v>231</v>
      </c>
      <c r="H11" s="1" t="s">
        <v>232</v>
      </c>
      <c r="I11" s="1" t="s">
        <v>233</v>
      </c>
      <c r="J11" s="1" t="s">
        <v>234</v>
      </c>
      <c r="K11" s="1" t="s">
        <v>235</v>
      </c>
      <c r="L11" s="1" t="s">
        <v>236</v>
      </c>
      <c r="M11" s="1" t="s">
        <v>237</v>
      </c>
      <c r="N11" s="1" t="s">
        <v>238</v>
      </c>
      <c r="O11" s="1" t="s">
        <v>239</v>
      </c>
      <c r="P11" s="1" t="s">
        <v>240</v>
      </c>
      <c r="Q11" s="1" t="s">
        <v>241</v>
      </c>
      <c r="R11" s="1" t="s">
        <v>242</v>
      </c>
      <c r="S11" s="1" t="s">
        <v>243</v>
      </c>
      <c r="T11" s="1" t="s">
        <v>244</v>
      </c>
      <c r="U11" s="1" t="s">
        <v>245</v>
      </c>
      <c r="V11" s="1" t="s">
        <v>246</v>
      </c>
      <c r="W11" s="1" t="s">
        <v>247</v>
      </c>
      <c r="X11" s="1" t="s">
        <v>248</v>
      </c>
      <c r="Y11" s="1" t="s">
        <v>249</v>
      </c>
      <c r="Z11" s="1" t="s">
        <v>250</v>
      </c>
      <c r="AA11" s="1" t="s">
        <v>251</v>
      </c>
      <c r="AB11" s="1" t="s">
        <v>252</v>
      </c>
      <c r="AC11" s="1" t="s">
        <v>253</v>
      </c>
      <c r="AD11" s="1" t="s">
        <v>254</v>
      </c>
      <c r="AE11" s="1" t="s">
        <v>255</v>
      </c>
      <c r="AF11" s="1" t="s">
        <v>256</v>
      </c>
      <c r="AG11" s="1" t="s">
        <v>257</v>
      </c>
      <c r="AH11" s="1" t="s">
        <v>258</v>
      </c>
      <c r="AI11" s="1" t="s">
        <v>259</v>
      </c>
      <c r="AJ11" s="1" t="s">
        <v>260</v>
      </c>
    </row>
    <row r="12" spans="1:36">
      <c r="A12" s="10" t="s">
        <v>72</v>
      </c>
      <c r="B12" s="10" t="s">
        <v>174</v>
      </c>
      <c r="C12" s="10" t="s">
        <v>179</v>
      </c>
      <c r="D12" s="10" t="s">
        <v>278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>
      <c r="A13" s="10" t="s">
        <v>73</v>
      </c>
      <c r="B13" s="10" t="s">
        <v>174</v>
      </c>
      <c r="C13" s="10" t="s">
        <v>179</v>
      </c>
      <c r="D13" s="10" t="s">
        <v>183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>
      <c r="A14" s="10" t="s">
        <v>59</v>
      </c>
      <c r="B14" s="10" t="s">
        <v>174</v>
      </c>
      <c r="C14" s="10" t="s">
        <v>196</v>
      </c>
      <c r="D14" s="10" t="s">
        <v>183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0"/>
  <sheetViews>
    <sheetView workbookViewId="0"/>
  </sheetViews>
  <sheetFormatPr defaultRowHeight="16.5"/>
  <cols>
    <col min="1" max="1" width="14" style="12" customWidth="1"/>
    <col min="2" max="3" width="18" style="12" customWidth="1"/>
    <col min="4" max="4" width="30" style="12" customWidth="1"/>
    <col min="5" max="6" width="12.625" style="12" customWidth="1"/>
    <col min="7" max="7" width="10" style="12" customWidth="1"/>
    <col min="8" max="8" width="12" style="12" customWidth="1"/>
    <col min="9" max="10" width="10" style="12" customWidth="1"/>
    <col min="11" max="12" width="9" style="12" customWidth="1"/>
    <col min="13" max="13" width="30" style="12" customWidth="1"/>
    <col min="14" max="14" width="10.25" style="12" customWidth="1"/>
    <col min="15" max="15" width="8" style="12" customWidth="1"/>
    <col min="16" max="16" width="20" style="12" customWidth="1"/>
    <col min="17" max="16384" width="9" style="12"/>
  </cols>
  <sheetData>
    <row r="1" spans="1:16">
      <c r="A1" s="73" t="s">
        <v>7</v>
      </c>
      <c r="B1" s="73" t="s">
        <v>280</v>
      </c>
      <c r="C1" s="73" t="s">
        <v>281</v>
      </c>
      <c r="D1" s="73" t="s">
        <v>282</v>
      </c>
      <c r="E1" s="73" t="s">
        <v>283</v>
      </c>
      <c r="F1" s="73" t="s">
        <v>284</v>
      </c>
      <c r="G1" s="73" t="s">
        <v>285</v>
      </c>
      <c r="H1" s="73" t="s">
        <v>286</v>
      </c>
      <c r="I1" s="73" t="s">
        <v>287</v>
      </c>
      <c r="J1" s="73" t="s">
        <v>288</v>
      </c>
      <c r="K1" s="73" t="s">
        <v>92</v>
      </c>
      <c r="L1" s="73" t="s">
        <v>93</v>
      </c>
      <c r="M1" s="73" t="s">
        <v>289</v>
      </c>
      <c r="N1" s="73" t="s">
        <v>290</v>
      </c>
      <c r="O1" s="73" t="s">
        <v>291</v>
      </c>
      <c r="P1" s="73" t="s">
        <v>292</v>
      </c>
    </row>
    <row r="2" spans="1:16">
      <c r="A2" s="12" t="s">
        <v>65</v>
      </c>
      <c r="B2" s="12" t="s">
        <v>105</v>
      </c>
      <c r="C2" s="12" t="s">
        <v>105</v>
      </c>
      <c r="D2" s="12" t="str">
        <f t="shared" ref="D2:D41" si="0">IF($A2="","",IF(AND($B2&lt;&gt;"",$C2&lt;&gt;"",$B2&lt;&gt;$C2),"⇄ 轉隊："&amp;$B2&amp;" → "&amp;$C2,""))</f>
        <v/>
      </c>
      <c r="E2" s="12">
        <v>1</v>
      </c>
      <c r="F2" s="12">
        <v>1</v>
      </c>
      <c r="G2" s="12" t="str">
        <f t="shared" ref="G2:G41" si="1">IF($A2="","",IF(OR($E2="",$F2=""),"",IF($F2&lt;$E2,"升級",IF($F2&gt;$E2,"下放",""))))</f>
        <v/>
      </c>
      <c r="I2" s="12" t="s">
        <v>106</v>
      </c>
      <c r="J2" s="12" t="s">
        <v>106</v>
      </c>
      <c r="N2" s="12" t="str">
        <f t="shared" ref="N2:N41" si="2">IF($A2="","",IF(OR($G2&lt;&gt;"",$M2&lt;&gt;""),1,""))</f>
        <v/>
      </c>
    </row>
    <row r="3" spans="1:16">
      <c r="A3" s="12" t="s">
        <v>26</v>
      </c>
      <c r="B3" s="12" t="s">
        <v>109</v>
      </c>
      <c r="C3" s="12" t="s">
        <v>109</v>
      </c>
      <c r="D3" s="12" t="str">
        <f t="shared" si="0"/>
        <v/>
      </c>
      <c r="E3" s="12">
        <v>1</v>
      </c>
      <c r="F3" s="12">
        <v>1</v>
      </c>
      <c r="G3" s="12" t="str">
        <f t="shared" si="1"/>
        <v/>
      </c>
      <c r="I3" s="12" t="s">
        <v>106</v>
      </c>
      <c r="J3" s="12" t="s">
        <v>106</v>
      </c>
      <c r="M3" s="12" t="str">
        <f t="shared" ref="M3:M41" si="3">IF($A3="","",IF($D3&lt;&gt;"",$D3,IF($J3="現役",IF($I3&lt;&gt;"現役","↩ 復出",""),IF($J3&lt;&gt;"現役",IF($K3=10,"⚕ IL("&amp;IF($L3="","?",$L3)&amp;"/10)",IF($K3=15,"⚕ IL("&amp;IF($L3="","?",$L3)&amp;"/15)",IF($K3=60,"⚕ IL("&amp;IF($L3="","?",$L3)&amp;"/60)","⚕ 傷兵"))),""))))</f>
        <v/>
      </c>
      <c r="N3" s="12" t="str">
        <f t="shared" si="2"/>
        <v/>
      </c>
    </row>
    <row r="4" spans="1:16">
      <c r="A4" s="12" t="s">
        <v>28</v>
      </c>
      <c r="B4" s="12" t="s">
        <v>113</v>
      </c>
      <c r="C4" s="12" t="s">
        <v>113</v>
      </c>
      <c r="D4" s="12" t="str">
        <f t="shared" si="0"/>
        <v/>
      </c>
      <c r="E4" s="12">
        <v>4</v>
      </c>
      <c r="F4" s="12">
        <v>4</v>
      </c>
      <c r="G4" s="12" t="str">
        <f t="shared" si="1"/>
        <v/>
      </c>
      <c r="I4" s="12" t="s">
        <v>106</v>
      </c>
      <c r="J4" s="12" t="s">
        <v>106</v>
      </c>
      <c r="M4" s="12" t="str">
        <f t="shared" si="3"/>
        <v/>
      </c>
      <c r="N4" s="12" t="str">
        <f t="shared" si="2"/>
        <v/>
      </c>
    </row>
    <row r="5" spans="1:16">
      <c r="A5" s="12" t="s">
        <v>67</v>
      </c>
      <c r="B5" s="12" t="s">
        <v>117</v>
      </c>
      <c r="C5" s="12" t="s">
        <v>117</v>
      </c>
      <c r="D5" s="12" t="str">
        <f t="shared" si="0"/>
        <v/>
      </c>
      <c r="E5" s="12">
        <v>4</v>
      </c>
      <c r="F5" s="12">
        <v>4</v>
      </c>
      <c r="G5" s="12" t="str">
        <f t="shared" si="1"/>
        <v/>
      </c>
      <c r="I5" s="12" t="s">
        <v>106</v>
      </c>
      <c r="J5" s="12" t="s">
        <v>106</v>
      </c>
      <c r="M5" s="12" t="str">
        <f t="shared" si="3"/>
        <v/>
      </c>
      <c r="N5" s="12" t="str">
        <f t="shared" si="2"/>
        <v/>
      </c>
    </row>
    <row r="6" spans="1:16">
      <c r="A6" s="12" t="s">
        <v>31</v>
      </c>
      <c r="B6" s="12" t="s">
        <v>120</v>
      </c>
      <c r="C6" s="12" t="s">
        <v>120</v>
      </c>
      <c r="D6" s="12" t="str">
        <f t="shared" si="0"/>
        <v/>
      </c>
      <c r="E6" s="12">
        <v>5</v>
      </c>
      <c r="F6" s="12">
        <v>5</v>
      </c>
      <c r="G6" s="12" t="str">
        <f t="shared" si="1"/>
        <v/>
      </c>
      <c r="I6" s="12" t="s">
        <v>106</v>
      </c>
      <c r="J6" s="12" t="s">
        <v>106</v>
      </c>
      <c r="M6" s="12" t="str">
        <f t="shared" si="3"/>
        <v/>
      </c>
      <c r="N6" s="12" t="str">
        <f t="shared" si="2"/>
        <v/>
      </c>
    </row>
    <row r="7" spans="1:16">
      <c r="A7" s="12" t="s">
        <v>34</v>
      </c>
      <c r="B7" s="12" t="s">
        <v>124</v>
      </c>
      <c r="C7" s="12" t="s">
        <v>124</v>
      </c>
      <c r="D7" s="12" t="str">
        <f t="shared" si="0"/>
        <v/>
      </c>
      <c r="E7" s="12">
        <v>5</v>
      </c>
      <c r="F7" s="12">
        <v>5</v>
      </c>
      <c r="G7" s="12" t="str">
        <f t="shared" si="1"/>
        <v/>
      </c>
      <c r="I7" s="12" t="s">
        <v>106</v>
      </c>
      <c r="J7" s="12" t="s">
        <v>106</v>
      </c>
      <c r="M7" s="12" t="str">
        <f t="shared" si="3"/>
        <v/>
      </c>
      <c r="N7" s="12" t="str">
        <f t="shared" si="2"/>
        <v/>
      </c>
    </row>
    <row r="8" spans="1:16">
      <c r="A8" s="12" t="s">
        <v>33</v>
      </c>
      <c r="B8" s="12" t="s">
        <v>124</v>
      </c>
      <c r="C8" s="12" t="s">
        <v>124</v>
      </c>
      <c r="D8" s="12" t="str">
        <f t="shared" si="0"/>
        <v/>
      </c>
      <c r="E8" s="12">
        <v>5</v>
      </c>
      <c r="F8" s="12">
        <v>5</v>
      </c>
      <c r="G8" s="12" t="str">
        <f t="shared" si="1"/>
        <v/>
      </c>
      <c r="I8" s="12" t="s">
        <v>106</v>
      </c>
      <c r="J8" s="12" t="s">
        <v>106</v>
      </c>
      <c r="M8" s="12" t="str">
        <f t="shared" si="3"/>
        <v/>
      </c>
      <c r="N8" s="12" t="str">
        <f t="shared" si="2"/>
        <v/>
      </c>
    </row>
    <row r="9" spans="1:16">
      <c r="A9" s="12" t="s">
        <v>36</v>
      </c>
      <c r="B9" s="12" t="s">
        <v>129</v>
      </c>
      <c r="C9" s="12" t="s">
        <v>129</v>
      </c>
      <c r="D9" s="12" t="str">
        <f t="shared" si="0"/>
        <v/>
      </c>
      <c r="E9" s="12">
        <v>5</v>
      </c>
      <c r="F9" s="12">
        <v>5</v>
      </c>
      <c r="G9" s="12" t="str">
        <f t="shared" si="1"/>
        <v/>
      </c>
      <c r="I9" s="12" t="s">
        <v>106</v>
      </c>
      <c r="J9" s="12" t="s">
        <v>106</v>
      </c>
      <c r="M9" s="12" t="str">
        <f t="shared" si="3"/>
        <v/>
      </c>
      <c r="N9" s="12" t="str">
        <f t="shared" si="2"/>
        <v/>
      </c>
    </row>
    <row r="10" spans="1:16">
      <c r="A10" s="12" t="s">
        <v>38</v>
      </c>
      <c r="B10" s="12" t="s">
        <v>117</v>
      </c>
      <c r="C10" s="12" t="s">
        <v>117</v>
      </c>
      <c r="D10" s="12" t="str">
        <f t="shared" si="0"/>
        <v/>
      </c>
      <c r="E10" s="12">
        <v>5</v>
      </c>
      <c r="F10" s="12">
        <v>5</v>
      </c>
      <c r="G10" s="12" t="str">
        <f t="shared" si="1"/>
        <v/>
      </c>
      <c r="I10" s="12" t="s">
        <v>132</v>
      </c>
      <c r="J10" s="12" t="s">
        <v>132</v>
      </c>
      <c r="K10" s="12">
        <v>60</v>
      </c>
      <c r="L10" s="12">
        <v>39</v>
      </c>
      <c r="M10" s="12" t="str">
        <f t="shared" si="3"/>
        <v>⚕ IL(39/60)</v>
      </c>
      <c r="N10" s="12">
        <f t="shared" si="2"/>
        <v>1</v>
      </c>
      <c r="O10" s="12">
        <v>1</v>
      </c>
    </row>
    <row r="11" spans="1:16">
      <c r="A11" s="12" t="s">
        <v>40</v>
      </c>
      <c r="B11" s="12" t="s">
        <v>124</v>
      </c>
      <c r="C11" s="12" t="s">
        <v>124</v>
      </c>
      <c r="D11" s="12" t="str">
        <f t="shared" si="0"/>
        <v/>
      </c>
      <c r="E11" s="12">
        <v>6</v>
      </c>
      <c r="F11" s="12">
        <v>6</v>
      </c>
      <c r="G11" s="12" t="str">
        <f t="shared" si="1"/>
        <v/>
      </c>
      <c r="I11" s="12" t="s">
        <v>106</v>
      </c>
      <c r="J11" s="12" t="s">
        <v>106</v>
      </c>
      <c r="M11" s="12" t="str">
        <f t="shared" si="3"/>
        <v/>
      </c>
      <c r="N11" s="12" t="str">
        <f t="shared" si="2"/>
        <v/>
      </c>
    </row>
    <row r="12" spans="1:16">
      <c r="A12" s="12" t="s">
        <v>42</v>
      </c>
      <c r="B12" s="12" t="s">
        <v>129</v>
      </c>
      <c r="C12" s="12" t="s">
        <v>129</v>
      </c>
      <c r="D12" s="12" t="str">
        <f t="shared" si="0"/>
        <v/>
      </c>
      <c r="E12" s="12">
        <v>6</v>
      </c>
      <c r="F12" s="12">
        <v>6</v>
      </c>
      <c r="G12" s="12" t="str">
        <f t="shared" si="1"/>
        <v/>
      </c>
      <c r="I12" s="12" t="s">
        <v>106</v>
      </c>
      <c r="J12" s="12" t="s">
        <v>106</v>
      </c>
      <c r="M12" s="12" t="str">
        <f t="shared" si="3"/>
        <v/>
      </c>
      <c r="N12" s="12" t="str">
        <f t="shared" si="2"/>
        <v/>
      </c>
    </row>
    <row r="13" spans="1:16">
      <c r="A13" s="12" t="s">
        <v>44</v>
      </c>
      <c r="B13" s="12" t="s">
        <v>140</v>
      </c>
      <c r="C13" s="12" t="s">
        <v>140</v>
      </c>
      <c r="D13" s="12" t="str">
        <f t="shared" si="0"/>
        <v/>
      </c>
      <c r="E13" s="12">
        <v>7</v>
      </c>
      <c r="F13" s="12">
        <v>7</v>
      </c>
      <c r="G13" s="12" t="str">
        <f t="shared" si="1"/>
        <v/>
      </c>
      <c r="I13" s="12" t="s">
        <v>132</v>
      </c>
      <c r="J13" s="12" t="s">
        <v>132</v>
      </c>
      <c r="K13" s="12">
        <v>60</v>
      </c>
      <c r="L13" s="12">
        <v>39</v>
      </c>
      <c r="M13" s="12" t="str">
        <f t="shared" si="3"/>
        <v>⚕ IL(39/60)</v>
      </c>
      <c r="N13" s="12">
        <f t="shared" si="2"/>
        <v>1</v>
      </c>
      <c r="O13" s="12">
        <v>2</v>
      </c>
    </row>
    <row r="14" spans="1:16">
      <c r="A14" s="12" t="s">
        <v>45</v>
      </c>
      <c r="B14" s="12" t="s">
        <v>144</v>
      </c>
      <c r="C14" s="12" t="s">
        <v>144</v>
      </c>
      <c r="D14" s="12" t="str">
        <f t="shared" si="0"/>
        <v/>
      </c>
      <c r="E14" s="12">
        <v>7</v>
      </c>
      <c r="F14" s="12">
        <v>7</v>
      </c>
      <c r="G14" s="12" t="str">
        <f t="shared" si="1"/>
        <v/>
      </c>
      <c r="I14" s="12" t="s">
        <v>106</v>
      </c>
      <c r="J14" s="12" t="s">
        <v>106</v>
      </c>
      <c r="M14" s="12" t="str">
        <f t="shared" si="3"/>
        <v/>
      </c>
      <c r="N14" s="12" t="str">
        <f t="shared" si="2"/>
        <v/>
      </c>
    </row>
    <row r="15" spans="1:16">
      <c r="A15" s="12" t="s">
        <v>69</v>
      </c>
      <c r="B15" s="12" t="s">
        <v>147</v>
      </c>
      <c r="C15" s="12" t="s">
        <v>147</v>
      </c>
      <c r="D15" s="12" t="str">
        <f t="shared" si="0"/>
        <v/>
      </c>
      <c r="E15" s="12">
        <v>7</v>
      </c>
      <c r="F15" s="12">
        <v>7</v>
      </c>
      <c r="G15" s="12" t="str">
        <f t="shared" si="1"/>
        <v/>
      </c>
      <c r="I15" s="12" t="s">
        <v>106</v>
      </c>
      <c r="J15" s="12" t="s">
        <v>106</v>
      </c>
      <c r="M15" s="12" t="str">
        <f t="shared" si="3"/>
        <v/>
      </c>
      <c r="N15" s="12" t="str">
        <f t="shared" si="2"/>
        <v/>
      </c>
    </row>
    <row r="16" spans="1:16">
      <c r="A16" s="12" t="s">
        <v>46</v>
      </c>
      <c r="B16" s="12" t="s">
        <v>113</v>
      </c>
      <c r="C16" s="12" t="s">
        <v>113</v>
      </c>
      <c r="D16" s="12" t="str">
        <f t="shared" si="0"/>
        <v/>
      </c>
      <c r="E16" s="12">
        <v>7</v>
      </c>
      <c r="F16" s="12">
        <v>7</v>
      </c>
      <c r="G16" s="12" t="str">
        <f t="shared" si="1"/>
        <v/>
      </c>
      <c r="I16" s="12" t="s">
        <v>106</v>
      </c>
      <c r="J16" s="12" t="s">
        <v>106</v>
      </c>
      <c r="M16" s="12" t="str">
        <f t="shared" si="3"/>
        <v/>
      </c>
      <c r="N16" s="12" t="str">
        <f t="shared" si="2"/>
        <v/>
      </c>
    </row>
    <row r="17" spans="1:14">
      <c r="A17" s="12" t="s">
        <v>47</v>
      </c>
      <c r="B17" s="12" t="s">
        <v>152</v>
      </c>
      <c r="C17" s="12" t="s">
        <v>152</v>
      </c>
      <c r="D17" s="12" t="str">
        <f t="shared" si="0"/>
        <v/>
      </c>
      <c r="E17" s="12">
        <v>7</v>
      </c>
      <c r="F17" s="12">
        <v>7</v>
      </c>
      <c r="G17" s="12" t="str">
        <f t="shared" si="1"/>
        <v/>
      </c>
      <c r="I17" s="12" t="s">
        <v>106</v>
      </c>
      <c r="J17" s="12" t="s">
        <v>106</v>
      </c>
      <c r="M17" s="12" t="str">
        <f t="shared" si="3"/>
        <v/>
      </c>
      <c r="N17" s="12" t="str">
        <f t="shared" si="2"/>
        <v/>
      </c>
    </row>
    <row r="18" spans="1:14">
      <c r="A18" s="12" t="s">
        <v>49</v>
      </c>
      <c r="B18" s="12" t="s">
        <v>155</v>
      </c>
      <c r="C18" s="12" t="s">
        <v>155</v>
      </c>
      <c r="D18" s="12" t="str">
        <f t="shared" si="0"/>
        <v/>
      </c>
      <c r="E18" s="12">
        <v>8</v>
      </c>
      <c r="F18" s="12">
        <v>8</v>
      </c>
      <c r="G18" s="12" t="str">
        <f t="shared" si="1"/>
        <v/>
      </c>
      <c r="I18" s="12" t="s">
        <v>106</v>
      </c>
      <c r="J18" s="12" t="s">
        <v>106</v>
      </c>
      <c r="M18" s="12" t="str">
        <f t="shared" si="3"/>
        <v/>
      </c>
      <c r="N18" s="12" t="str">
        <f t="shared" si="2"/>
        <v/>
      </c>
    </row>
    <row r="19" spans="1:14">
      <c r="A19" s="12" t="s">
        <v>51</v>
      </c>
      <c r="B19" s="12" t="s">
        <v>159</v>
      </c>
      <c r="C19" s="12" t="s">
        <v>159</v>
      </c>
      <c r="D19" s="12" t="str">
        <f t="shared" si="0"/>
        <v/>
      </c>
      <c r="E19" s="12">
        <v>8</v>
      </c>
      <c r="F19" s="12">
        <v>8</v>
      </c>
      <c r="G19" s="12" t="str">
        <f t="shared" si="1"/>
        <v/>
      </c>
      <c r="I19" s="12" t="s">
        <v>106</v>
      </c>
      <c r="J19" s="12" t="s">
        <v>106</v>
      </c>
      <c r="M19" s="12" t="str">
        <f t="shared" si="3"/>
        <v/>
      </c>
      <c r="N19" s="12" t="str">
        <f t="shared" si="2"/>
        <v/>
      </c>
    </row>
    <row r="20" spans="1:14">
      <c r="A20" s="12" t="s">
        <v>52</v>
      </c>
      <c r="B20" s="12" t="s">
        <v>140</v>
      </c>
      <c r="C20" s="12" t="s">
        <v>140</v>
      </c>
      <c r="D20" s="12" t="str">
        <f t="shared" si="0"/>
        <v/>
      </c>
      <c r="E20" s="12">
        <v>8</v>
      </c>
      <c r="F20" s="12">
        <v>8</v>
      </c>
      <c r="G20" s="12" t="str">
        <f t="shared" si="1"/>
        <v/>
      </c>
      <c r="I20" s="12" t="s">
        <v>106</v>
      </c>
      <c r="J20" s="12" t="s">
        <v>106</v>
      </c>
      <c r="M20" s="12" t="str">
        <f t="shared" si="3"/>
        <v/>
      </c>
      <c r="N20" s="12" t="str">
        <f t="shared" si="2"/>
        <v/>
      </c>
    </row>
    <row r="21" spans="1:14">
      <c r="A21" s="12" t="s">
        <v>53</v>
      </c>
      <c r="B21" s="12" t="s">
        <v>155</v>
      </c>
      <c r="C21" s="12" t="s">
        <v>155</v>
      </c>
      <c r="D21" s="12" t="str">
        <f t="shared" si="0"/>
        <v/>
      </c>
      <c r="E21" s="12">
        <v>8</v>
      </c>
      <c r="F21" s="12">
        <v>8</v>
      </c>
      <c r="G21" s="12" t="str">
        <f t="shared" si="1"/>
        <v/>
      </c>
      <c r="I21" s="12" t="s">
        <v>106</v>
      </c>
      <c r="J21" s="12" t="s">
        <v>106</v>
      </c>
      <c r="M21" s="12" t="str">
        <f t="shared" si="3"/>
        <v/>
      </c>
      <c r="N21" s="12" t="str">
        <f t="shared" si="2"/>
        <v/>
      </c>
    </row>
    <row r="22" spans="1:14">
      <c r="A22" s="12" t="s">
        <v>71</v>
      </c>
      <c r="B22" s="12" t="s">
        <v>159</v>
      </c>
      <c r="C22" s="12" t="s">
        <v>159</v>
      </c>
      <c r="D22" s="12" t="str">
        <f t="shared" si="0"/>
        <v/>
      </c>
      <c r="E22" s="12">
        <v>8</v>
      </c>
      <c r="F22" s="12">
        <v>8</v>
      </c>
      <c r="G22" s="12" t="str">
        <f t="shared" si="1"/>
        <v/>
      </c>
      <c r="I22" s="12" t="s">
        <v>106</v>
      </c>
      <c r="J22" s="12" t="s">
        <v>106</v>
      </c>
      <c r="M22" s="12" t="str">
        <f t="shared" si="3"/>
        <v/>
      </c>
      <c r="N22" s="12" t="str">
        <f t="shared" si="2"/>
        <v/>
      </c>
    </row>
    <row r="23" spans="1:14">
      <c r="A23" s="12" t="s">
        <v>54</v>
      </c>
      <c r="B23" s="12" t="s">
        <v>169</v>
      </c>
      <c r="C23" s="12" t="s">
        <v>169</v>
      </c>
      <c r="D23" s="12" t="str">
        <f t="shared" si="0"/>
        <v/>
      </c>
      <c r="E23" s="12">
        <v>8</v>
      </c>
      <c r="F23" s="12">
        <v>8</v>
      </c>
      <c r="G23" s="12" t="str">
        <f t="shared" si="1"/>
        <v/>
      </c>
      <c r="I23" s="12" t="s">
        <v>106</v>
      </c>
      <c r="J23" s="12" t="s">
        <v>106</v>
      </c>
      <c r="M23" s="12" t="str">
        <f t="shared" si="3"/>
        <v/>
      </c>
      <c r="N23" s="12" t="str">
        <f t="shared" si="2"/>
        <v/>
      </c>
    </row>
    <row r="24" spans="1:14">
      <c r="A24" s="12" t="s">
        <v>55</v>
      </c>
      <c r="B24" s="12" t="s">
        <v>175</v>
      </c>
      <c r="C24" s="12" t="s">
        <v>175</v>
      </c>
      <c r="D24" s="12" t="str">
        <f t="shared" si="0"/>
        <v/>
      </c>
      <c r="E24" s="12">
        <v>2</v>
      </c>
      <c r="F24" s="12">
        <v>2</v>
      </c>
      <c r="G24" s="12" t="str">
        <f t="shared" si="1"/>
        <v/>
      </c>
      <c r="I24" s="12" t="s">
        <v>106</v>
      </c>
      <c r="J24" s="12" t="s">
        <v>106</v>
      </c>
      <c r="M24" s="12" t="str">
        <f t="shared" si="3"/>
        <v/>
      </c>
      <c r="N24" s="12" t="str">
        <f t="shared" si="2"/>
        <v/>
      </c>
    </row>
    <row r="25" spans="1:14">
      <c r="A25" s="12" t="s">
        <v>72</v>
      </c>
      <c r="B25" s="12" t="s">
        <v>179</v>
      </c>
      <c r="C25" s="12" t="s">
        <v>179</v>
      </c>
      <c r="D25" s="12" t="str">
        <f t="shared" si="0"/>
        <v/>
      </c>
      <c r="E25" s="12">
        <v>2</v>
      </c>
      <c r="F25" s="12">
        <v>2</v>
      </c>
      <c r="G25" s="12" t="str">
        <f t="shared" si="1"/>
        <v/>
      </c>
      <c r="I25" s="12" t="s">
        <v>106</v>
      </c>
      <c r="J25" s="12" t="s">
        <v>106</v>
      </c>
      <c r="M25" s="12" t="str">
        <f t="shared" si="3"/>
        <v/>
      </c>
      <c r="N25" s="12" t="str">
        <f t="shared" si="2"/>
        <v/>
      </c>
    </row>
    <row r="26" spans="1:14">
      <c r="A26" s="12" t="s">
        <v>56</v>
      </c>
      <c r="B26" s="12" t="s">
        <v>182</v>
      </c>
      <c r="C26" s="12" t="s">
        <v>182</v>
      </c>
      <c r="D26" s="12" t="str">
        <f t="shared" si="0"/>
        <v/>
      </c>
      <c r="E26" s="12">
        <v>9</v>
      </c>
      <c r="F26" s="12">
        <v>9</v>
      </c>
      <c r="G26" s="12" t="str">
        <f t="shared" si="1"/>
        <v/>
      </c>
      <c r="I26" s="12" t="s">
        <v>106</v>
      </c>
      <c r="J26" s="12" t="s">
        <v>106</v>
      </c>
      <c r="M26" s="12" t="str">
        <f t="shared" si="3"/>
        <v/>
      </c>
      <c r="N26" s="12" t="str">
        <f t="shared" si="2"/>
        <v/>
      </c>
    </row>
    <row r="27" spans="1:14">
      <c r="A27" s="12" t="s">
        <v>73</v>
      </c>
      <c r="B27" s="12" t="s">
        <v>179</v>
      </c>
      <c r="C27" s="12" t="s">
        <v>179</v>
      </c>
      <c r="D27" s="12" t="str">
        <f t="shared" si="0"/>
        <v/>
      </c>
      <c r="E27" s="12">
        <v>9</v>
      </c>
      <c r="F27" s="12">
        <v>9</v>
      </c>
      <c r="G27" s="12" t="str">
        <f t="shared" si="1"/>
        <v/>
      </c>
      <c r="I27" s="12" t="s">
        <v>106</v>
      </c>
      <c r="J27" s="12" t="s">
        <v>106</v>
      </c>
      <c r="M27" s="12" t="str">
        <f t="shared" si="3"/>
        <v/>
      </c>
      <c r="N27" s="12" t="str">
        <f t="shared" si="2"/>
        <v/>
      </c>
    </row>
    <row r="28" spans="1:14">
      <c r="A28" s="12" t="s">
        <v>74</v>
      </c>
      <c r="B28" s="12" t="s">
        <v>182</v>
      </c>
      <c r="C28" s="12" t="s">
        <v>182</v>
      </c>
      <c r="D28" s="12" t="str">
        <f t="shared" si="0"/>
        <v/>
      </c>
      <c r="E28" s="12">
        <v>9</v>
      </c>
      <c r="F28" s="12">
        <v>9</v>
      </c>
      <c r="G28" s="12" t="str">
        <f t="shared" si="1"/>
        <v/>
      </c>
      <c r="I28" s="12" t="s">
        <v>106</v>
      </c>
      <c r="J28" s="12" t="s">
        <v>106</v>
      </c>
      <c r="M28" s="12" t="str">
        <f t="shared" si="3"/>
        <v/>
      </c>
      <c r="N28" s="12" t="str">
        <f t="shared" si="2"/>
        <v/>
      </c>
    </row>
    <row r="29" spans="1:14">
      <c r="A29" s="12" t="s">
        <v>57</v>
      </c>
      <c r="B29" s="12" t="s">
        <v>182</v>
      </c>
      <c r="C29" s="12" t="s">
        <v>182</v>
      </c>
      <c r="D29" s="12" t="str">
        <f t="shared" si="0"/>
        <v/>
      </c>
      <c r="E29" s="12">
        <v>9</v>
      </c>
      <c r="F29" s="12">
        <v>9</v>
      </c>
      <c r="G29" s="12" t="str">
        <f t="shared" si="1"/>
        <v/>
      </c>
      <c r="I29" s="12" t="s">
        <v>106</v>
      </c>
      <c r="J29" s="12" t="s">
        <v>106</v>
      </c>
      <c r="M29" s="12" t="str">
        <f t="shared" si="3"/>
        <v/>
      </c>
      <c r="N29" s="12" t="str">
        <f t="shared" si="2"/>
        <v/>
      </c>
    </row>
    <row r="30" spans="1:14">
      <c r="A30" s="12" t="s">
        <v>58</v>
      </c>
      <c r="B30" s="12" t="s">
        <v>193</v>
      </c>
      <c r="C30" s="12" t="s">
        <v>193</v>
      </c>
      <c r="D30" s="12" t="str">
        <f t="shared" si="0"/>
        <v/>
      </c>
      <c r="E30" s="12">
        <v>9</v>
      </c>
      <c r="F30" s="12">
        <v>9</v>
      </c>
      <c r="G30" s="12" t="str">
        <f t="shared" si="1"/>
        <v/>
      </c>
      <c r="I30" s="12" t="s">
        <v>106</v>
      </c>
      <c r="J30" s="12" t="s">
        <v>106</v>
      </c>
      <c r="M30" s="12" t="str">
        <f t="shared" si="3"/>
        <v/>
      </c>
      <c r="N30" s="12" t="str">
        <f t="shared" si="2"/>
        <v/>
      </c>
    </row>
    <row r="31" spans="1:14">
      <c r="A31" s="12" t="s">
        <v>59</v>
      </c>
      <c r="B31" s="12" t="s">
        <v>196</v>
      </c>
      <c r="C31" s="12" t="s">
        <v>196</v>
      </c>
      <c r="D31" s="12" t="str">
        <f t="shared" si="0"/>
        <v/>
      </c>
      <c r="E31" s="12">
        <v>9</v>
      </c>
      <c r="F31" s="12">
        <v>9</v>
      </c>
      <c r="G31" s="12" t="str">
        <f t="shared" si="1"/>
        <v/>
      </c>
      <c r="I31" s="12" t="s">
        <v>106</v>
      </c>
      <c r="J31" s="12" t="s">
        <v>106</v>
      </c>
      <c r="M31" s="12" t="str">
        <f t="shared" si="3"/>
        <v/>
      </c>
      <c r="N31" s="12" t="str">
        <f t="shared" si="2"/>
        <v/>
      </c>
    </row>
    <row r="32" spans="1:14">
      <c r="A32" s="12" t="s">
        <v>60</v>
      </c>
      <c r="B32" s="12" t="s">
        <v>193</v>
      </c>
      <c r="C32" s="12" t="s">
        <v>193</v>
      </c>
      <c r="D32" s="12" t="str">
        <f t="shared" si="0"/>
        <v/>
      </c>
      <c r="E32" s="12">
        <v>9</v>
      </c>
      <c r="F32" s="12">
        <v>9</v>
      </c>
      <c r="G32" s="12" t="str">
        <f t="shared" si="1"/>
        <v/>
      </c>
      <c r="I32" s="12" t="s">
        <v>106</v>
      </c>
      <c r="J32" s="12" t="s">
        <v>106</v>
      </c>
      <c r="M32" s="12" t="str">
        <f t="shared" si="3"/>
        <v/>
      </c>
      <c r="N32" s="12" t="str">
        <f t="shared" si="2"/>
        <v/>
      </c>
    </row>
    <row r="33" spans="1:15">
      <c r="A33" s="12" t="s">
        <v>61</v>
      </c>
      <c r="B33" s="12" t="s">
        <v>201</v>
      </c>
      <c r="C33" s="12" t="s">
        <v>201</v>
      </c>
      <c r="D33" s="12" t="str">
        <f t="shared" si="0"/>
        <v/>
      </c>
      <c r="E33" s="12">
        <v>9</v>
      </c>
      <c r="F33" s="12">
        <v>9</v>
      </c>
      <c r="G33" s="12" t="str">
        <f t="shared" si="1"/>
        <v/>
      </c>
      <c r="I33" s="12" t="s">
        <v>106</v>
      </c>
      <c r="J33" s="12" t="s">
        <v>106</v>
      </c>
      <c r="M33" s="12" t="str">
        <f t="shared" si="3"/>
        <v/>
      </c>
      <c r="N33" s="12" t="str">
        <f t="shared" si="2"/>
        <v/>
      </c>
    </row>
    <row r="34" spans="1:15">
      <c r="A34" s="12" t="s">
        <v>75</v>
      </c>
      <c r="B34" s="12" t="s">
        <v>175</v>
      </c>
      <c r="C34" s="12" t="s">
        <v>175</v>
      </c>
      <c r="D34" s="12" t="str">
        <f t="shared" si="0"/>
        <v/>
      </c>
      <c r="E34" s="12">
        <v>9</v>
      </c>
      <c r="F34" s="12">
        <v>9</v>
      </c>
      <c r="G34" s="12" t="str">
        <f t="shared" si="1"/>
        <v/>
      </c>
      <c r="I34" s="12" t="s">
        <v>106</v>
      </c>
      <c r="J34" s="12" t="s">
        <v>106</v>
      </c>
      <c r="M34" s="12" t="str">
        <f t="shared" si="3"/>
        <v/>
      </c>
      <c r="N34" s="12" t="str">
        <f t="shared" si="2"/>
        <v/>
      </c>
    </row>
    <row r="35" spans="1:15">
      <c r="A35" s="12" t="s">
        <v>62</v>
      </c>
      <c r="B35" s="12" t="s">
        <v>206</v>
      </c>
      <c r="C35" s="12" t="s">
        <v>206</v>
      </c>
      <c r="D35" s="12" t="str">
        <f t="shared" si="0"/>
        <v/>
      </c>
      <c r="E35" s="12">
        <v>9</v>
      </c>
      <c r="F35" s="12">
        <v>9</v>
      </c>
      <c r="G35" s="12" t="str">
        <f t="shared" si="1"/>
        <v/>
      </c>
      <c r="I35" s="12" t="s">
        <v>106</v>
      </c>
      <c r="J35" s="12" t="s">
        <v>106</v>
      </c>
      <c r="M35" s="12" t="str">
        <f t="shared" si="3"/>
        <v/>
      </c>
      <c r="N35" s="12" t="str">
        <f t="shared" si="2"/>
        <v/>
      </c>
    </row>
    <row r="36" spans="1:15">
      <c r="A36" s="12" t="s">
        <v>63</v>
      </c>
      <c r="B36" s="12" t="s">
        <v>175</v>
      </c>
      <c r="C36" s="12" t="s">
        <v>175</v>
      </c>
      <c r="D36" s="12" t="str">
        <f t="shared" si="0"/>
        <v/>
      </c>
      <c r="E36" s="12">
        <v>9</v>
      </c>
      <c r="F36" s="12">
        <v>9</v>
      </c>
      <c r="G36" s="12" t="str">
        <f t="shared" si="1"/>
        <v/>
      </c>
      <c r="I36" s="12" t="s">
        <v>106</v>
      </c>
      <c r="J36" s="12" t="s">
        <v>106</v>
      </c>
      <c r="M36" s="12" t="str">
        <f t="shared" si="3"/>
        <v/>
      </c>
      <c r="N36" s="12" t="str">
        <f t="shared" si="2"/>
        <v/>
      </c>
    </row>
    <row r="37" spans="1:15">
      <c r="A37" s="12" t="s">
        <v>64</v>
      </c>
      <c r="B37" s="12" t="s">
        <v>214</v>
      </c>
      <c r="C37" s="12" t="s">
        <v>214</v>
      </c>
      <c r="D37" s="12" t="str">
        <f t="shared" si="0"/>
        <v/>
      </c>
      <c r="E37" s="12">
        <v>3</v>
      </c>
      <c r="F37" s="12">
        <v>3</v>
      </c>
      <c r="G37" s="12" t="str">
        <f t="shared" si="1"/>
        <v/>
      </c>
      <c r="I37" s="12" t="s">
        <v>106</v>
      </c>
      <c r="J37" s="12" t="s">
        <v>106</v>
      </c>
      <c r="M37" s="12" t="str">
        <f t="shared" si="3"/>
        <v/>
      </c>
      <c r="N37" s="12" t="str">
        <f t="shared" si="2"/>
        <v/>
      </c>
    </row>
    <row r="38" spans="1:15">
      <c r="A38" s="12" t="s">
        <v>76</v>
      </c>
      <c r="B38" s="12" t="s">
        <v>219</v>
      </c>
      <c r="C38" s="12" t="s">
        <v>219</v>
      </c>
      <c r="D38" s="12" t="str">
        <f t="shared" si="0"/>
        <v/>
      </c>
      <c r="E38" s="12">
        <v>1</v>
      </c>
      <c r="F38" s="12">
        <v>1</v>
      </c>
      <c r="G38" s="12" t="str">
        <f t="shared" si="1"/>
        <v/>
      </c>
      <c r="I38" s="12" t="s">
        <v>106</v>
      </c>
      <c r="J38" s="12" t="s">
        <v>106</v>
      </c>
      <c r="M38" s="12" t="str">
        <f t="shared" si="3"/>
        <v/>
      </c>
      <c r="N38" s="12" t="str">
        <f t="shared" si="2"/>
        <v/>
      </c>
    </row>
    <row r="39" spans="1:15">
      <c r="A39" s="12" t="s">
        <v>78</v>
      </c>
      <c r="B39" s="12" t="s">
        <v>222</v>
      </c>
      <c r="C39" s="12" t="s">
        <v>222</v>
      </c>
      <c r="D39" s="12" t="str">
        <f t="shared" si="0"/>
        <v/>
      </c>
      <c r="E39" s="12">
        <v>4</v>
      </c>
      <c r="F39" s="12">
        <v>4</v>
      </c>
      <c r="G39" s="12" t="str">
        <f t="shared" si="1"/>
        <v/>
      </c>
      <c r="I39" s="12" t="s">
        <v>106</v>
      </c>
      <c r="J39" s="12" t="s">
        <v>106</v>
      </c>
      <c r="M39" s="12" t="str">
        <f t="shared" si="3"/>
        <v/>
      </c>
      <c r="N39" s="12" t="str">
        <f t="shared" si="2"/>
        <v/>
      </c>
    </row>
    <row r="40" spans="1:15">
      <c r="A40" s="12" t="s">
        <v>80</v>
      </c>
      <c r="B40" s="12" t="s">
        <v>225</v>
      </c>
      <c r="C40" s="12" t="s">
        <v>225</v>
      </c>
      <c r="D40" s="12" t="str">
        <f t="shared" si="0"/>
        <v/>
      </c>
      <c r="E40" s="12">
        <v>4</v>
      </c>
      <c r="F40" s="12">
        <v>4</v>
      </c>
      <c r="G40" s="12" t="str">
        <f t="shared" si="1"/>
        <v/>
      </c>
      <c r="I40" s="12" t="s">
        <v>106</v>
      </c>
      <c r="J40" s="12" t="s">
        <v>106</v>
      </c>
      <c r="M40" s="12" t="str">
        <f t="shared" si="3"/>
        <v/>
      </c>
      <c r="N40" s="12" t="str">
        <f t="shared" si="2"/>
        <v/>
      </c>
    </row>
    <row r="41" spans="1:15">
      <c r="A41" s="12" t="s">
        <v>81</v>
      </c>
      <c r="B41" s="12" t="s">
        <v>228</v>
      </c>
      <c r="C41" s="12" t="s">
        <v>228</v>
      </c>
      <c r="D41" s="12" t="str">
        <f t="shared" si="0"/>
        <v/>
      </c>
      <c r="E41" s="12">
        <v>6</v>
      </c>
      <c r="F41" s="12">
        <v>6</v>
      </c>
      <c r="G41" s="12" t="str">
        <f t="shared" si="1"/>
        <v/>
      </c>
      <c r="I41" s="12" t="s">
        <v>106</v>
      </c>
      <c r="J41" s="12" t="s">
        <v>106</v>
      </c>
      <c r="M41" s="12" t="str">
        <f t="shared" si="3"/>
        <v/>
      </c>
      <c r="N41" s="12" t="str">
        <f t="shared" si="2"/>
        <v/>
      </c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"/>
  <sheetViews>
    <sheetView workbookViewId="0"/>
  </sheetViews>
  <sheetFormatPr defaultRowHeight="16.5"/>
  <sheetData>
    <row r="1" spans="1:1">
      <c r="A1" t="s">
        <v>293</v>
      </c>
    </row>
    <row r="2" spans="1:1">
      <c r="A2" t="s">
        <v>294</v>
      </c>
    </row>
    <row r="3" spans="1:1">
      <c r="A3" t="s">
        <v>295</v>
      </c>
    </row>
    <row r="4" spans="1:1">
      <c r="A4" t="s">
        <v>296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首頁</vt:lpstr>
      <vt:lpstr>今日戰報</vt:lpstr>
      <vt:lpstr>總表</vt:lpstr>
      <vt:lpstr>打者數據</vt:lpstr>
      <vt:lpstr>投手數據</vt:lpstr>
      <vt:lpstr>日韓職球員數據</vt:lpstr>
      <vt:lpstr>異動資料源</vt:lpstr>
      <vt:lpstr>資料字典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嘉期 郭</cp:lastModifiedBy>
  <dcterms:created xsi:type="dcterms:W3CDTF">2026-04-27T13:41:31Z</dcterms:created>
  <dcterms:modified xsi:type="dcterms:W3CDTF">2026-04-27T13:41:31Z</dcterms:modified>
</cp:coreProperties>
</file>